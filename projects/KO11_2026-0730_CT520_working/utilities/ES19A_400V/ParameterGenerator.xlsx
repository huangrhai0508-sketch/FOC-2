
<file path=[Content_Types].xml><?xml version="1.0" encoding="utf-8"?>
<Types xmlns="http://schemas.openxmlformats.org/package/2006/content-types">
  <Default Extension="vml" ContentType="application/vnd.openxmlformats-officedocument.vmlDrawing"/>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comments1.xml" ContentType="application/vnd.openxmlformats-officedocument.spreadsheetml.comments+xml"/>
  <Override PartName="/xl/comments2.xml" ContentType="application/vnd.openxmlformats-officedocument.spreadsheetml.comments+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19200" windowHeight="7270" tabRatio="837" firstSheet="1" activeTab="3"/>
  </bookViews>
  <sheets>
    <sheet name="Overview" sheetId="13" r:id="rId1"/>
    <sheet name="DataTypeDefinition" sheetId="1" r:id="rId2"/>
    <sheet name="ParameterDefinition" sheetId="3" r:id="rId3"/>
    <sheet name="ParameterDefinition2" sheetId="24" r:id="rId4"/>
    <sheet name="TableDefinition" sheetId="14" r:id="rId5"/>
    <sheet name="SignalDefinition" sheetId="8" r:id="rId6"/>
    <sheet name="BusDefinition" sheetId="22" r:id="rId7"/>
    <sheet name="Comment" sheetId="5" r:id="rId8"/>
    <sheet name="ModuleDefination" sheetId="11" r:id="rId9"/>
    <sheet name="TableProcess" sheetId="18" r:id="rId10"/>
    <sheet name="Sheet1" sheetId="23" r:id="rId11"/>
  </sheets>
  <externalReferences>
    <externalReference r:id="rId12"/>
    <externalReference r:id="rId13"/>
  </externalReferences>
  <definedNames>
    <definedName name="_xlnm._FilterDatabase" localSheetId="5" hidden="1">SignalDefinition!$A$1:$O$290</definedName>
    <definedName name="_xlnm._FilterDatabase" localSheetId="6" hidden="1">BusDefinition!$A$1:$K$313</definedName>
  </definedNames>
  <calcPr calcId="144525"/>
</workbook>
</file>

<file path=xl/comments1.xml><?xml version="1.0" encoding="utf-8"?>
<comments xmlns="http://schemas.openxmlformats.org/spreadsheetml/2006/main">
  <authors>
    <author>zhang</author>
    <author>xingchun.zhang</author>
    <author>Windows User</author>
  </authors>
  <commentList>
    <comment ref="A7" authorId="0">
      <text>
        <r>
          <rPr>
            <b/>
            <sz val="9"/>
            <rFont val="宋体"/>
            <charset val="134"/>
          </rPr>
          <t>zhang:</t>
        </r>
        <r>
          <rPr>
            <sz val="9"/>
            <rFont val="宋体"/>
            <charset val="134"/>
          </rPr>
          <t xml:space="preserve">
offsAgRtrElec_C最终只为标定初始时的offsAgRtrElec_C值+标定结果值ISC_agAlOfsCal。标定之后需要重启</t>
        </r>
      </text>
    </comment>
    <comment ref="C7" authorId="1">
      <text>
        <r>
          <rPr>
            <b/>
            <sz val="9"/>
            <rFont val="宋体"/>
            <charset val="134"/>
          </rPr>
          <t>xingchun.zhang:</t>
        </r>
        <r>
          <rPr>
            <sz val="9"/>
            <rFont val="宋体"/>
            <charset val="134"/>
          </rPr>
          <t xml:space="preserve">
 电机4对极，旋变1对极，偏置为-16383，原因未查.实际电机0位置为4623
云迪菲仕电机：28770</t>
        </r>
      </text>
    </comment>
    <comment ref="C175" authorId="2">
      <text>
        <r>
          <rPr>
            <b/>
            <sz val="9"/>
            <rFont val="宋体"/>
            <charset val="134"/>
          </rPr>
          <t>Windows User:
external from CAN</t>
        </r>
        <r>
          <rPr>
            <sz val="9"/>
            <rFont val="宋体"/>
            <charset val="134"/>
          </rPr>
          <t xml:space="preserve">
1/(sensors.ADC.VoltsToDriverUnits)/(sensors.Dclink.VoltToVolt)/16</t>
        </r>
      </text>
    </comment>
  </commentList>
</comments>
</file>

<file path=xl/comments2.xml><?xml version="1.0" encoding="utf-8"?>
<comments xmlns="http://schemas.openxmlformats.org/spreadsheetml/2006/main">
  <authors>
    <author>xingchun.zhang</author>
    <author>zhang</author>
  </authors>
  <commentList>
    <comment ref="A1" authorId="0">
      <text>
        <r>
          <rPr>
            <b/>
            <sz val="9"/>
            <rFont val="宋体"/>
            <charset val="134"/>
          </rPr>
          <t>xingchun.zhang:</t>
        </r>
        <r>
          <rPr>
            <sz val="9"/>
            <rFont val="宋体"/>
            <charset val="134"/>
          </rPr>
          <t xml:space="preserve">
注意：Simulink中2D MAP不能复用</t>
        </r>
      </text>
    </comment>
    <comment ref="D4" authorId="1">
      <text>
        <r>
          <rPr>
            <b/>
            <sz val="9"/>
            <rFont val="宋体"/>
            <charset val="134"/>
          </rPr>
          <t>zhang:</t>
        </r>
        <r>
          <rPr>
            <sz val="9"/>
            <rFont val="宋体"/>
            <charset val="134"/>
          </rPr>
          <t xml:space="preserve">
0.1 for leap home</t>
        </r>
      </text>
    </comment>
    <comment ref="D29" authorId="0">
      <text>
        <r>
          <rPr>
            <b/>
            <sz val="9"/>
            <rFont val="宋体"/>
            <charset val="134"/>
          </rPr>
          <t>xingchun.zhang:</t>
        </r>
        <r>
          <rPr>
            <sz val="9"/>
            <rFont val="宋体"/>
            <charset val="134"/>
          </rPr>
          <t xml:space="preserve">
[370,350,320,320,260,140,140,140,140,140]</t>
        </r>
      </text>
    </comment>
    <comment ref="D30" authorId="0">
      <text>
        <r>
          <rPr>
            <b/>
            <sz val="9"/>
            <rFont val="宋体"/>
            <charset val="134"/>
          </rPr>
          <t>xingchun.zhang:</t>
        </r>
        <r>
          <rPr>
            <sz val="9"/>
            <rFont val="宋体"/>
            <charset val="134"/>
          </rPr>
          <t xml:space="preserve">
[32,34,42,42,42,60,60,60,60,60]</t>
        </r>
      </text>
    </comment>
  </commentList>
</comments>
</file>

<file path=xl/sharedStrings.xml><?xml version="1.0" encoding="utf-8"?>
<sst xmlns="http://schemas.openxmlformats.org/spreadsheetml/2006/main" count="7753" uniqueCount="1655">
  <si>
    <t>Assumpation:</t>
  </si>
  <si>
    <t>1. data type single is the default physical signals</t>
  </si>
  <si>
    <t>2. The PF_ only used in CAN blocks</t>
  </si>
  <si>
    <t>3. Enumeration signals defined in a m file dirctly.</t>
  </si>
  <si>
    <t>4._P for static calibratable parameters, _C for calibratable variant, _T for calibratable Map</t>
  </si>
  <si>
    <t>5. Singles start with three characters, which is the abberiation of the belonged blocks</t>
  </si>
  <si>
    <t>6. No blank lines at the end of parameter and signals</t>
  </si>
  <si>
    <t>7. Only signals from low level in CAN starts with ACI_   (ACI_ is the keyword for automodeling)</t>
  </si>
  <si>
    <t>8. EGM: EnumerateType Gate Mode; ECM: EnumerateType Control Mode; ESM: EnumerateType System Mode;</t>
  </si>
  <si>
    <t>Change History</t>
  </si>
  <si>
    <t>Date</t>
  </si>
  <si>
    <t>Description</t>
  </si>
  <si>
    <t>Author</t>
  </si>
  <si>
    <t>20160xxx</t>
  </si>
  <si>
    <t>First issue</t>
  </si>
  <si>
    <t>ZXC</t>
  </si>
  <si>
    <t>Add some parameters for DSM</t>
  </si>
  <si>
    <t>ZWB</t>
  </si>
  <si>
    <t>Move enumeration signals to m files</t>
  </si>
  <si>
    <t>Add column O 'Module' in SignalDefinition</t>
  </si>
  <si>
    <t>Add TableDefinition</t>
  </si>
  <si>
    <t>Add Buses between cores</t>
  </si>
  <si>
    <r>
      <rPr>
        <sz val="11"/>
        <color theme="1"/>
        <rFont val="宋体"/>
        <charset val="134"/>
        <scheme val="minor"/>
      </rPr>
      <t>d</t>
    </r>
    <r>
      <rPr>
        <sz val="11"/>
        <color theme="1"/>
        <rFont val="宋体"/>
        <charset val="134"/>
        <scheme val="minor"/>
      </rPr>
      <t>elete GPIST GPOST VADCST in BusDefinition</t>
    </r>
  </si>
  <si>
    <r>
      <rPr>
        <sz val="11"/>
        <color theme="1"/>
        <rFont val="宋体"/>
        <charset val="134"/>
        <scheme val="minor"/>
      </rPr>
      <t>Z</t>
    </r>
    <r>
      <rPr>
        <sz val="11"/>
        <color theme="1"/>
        <rFont val="宋体"/>
        <charset val="134"/>
        <scheme val="minor"/>
      </rPr>
      <t>WB</t>
    </r>
  </si>
  <si>
    <r>
      <rPr>
        <sz val="11"/>
        <color theme="1"/>
        <rFont val="宋体"/>
        <charset val="134"/>
        <scheme val="minor"/>
      </rPr>
      <t>T</t>
    </r>
    <r>
      <rPr>
        <sz val="11"/>
        <color theme="1"/>
        <rFont val="宋体"/>
        <charset val="134"/>
        <scheme val="minor"/>
      </rPr>
      <t>he three are moved in a sperate xls file</t>
    </r>
  </si>
  <si>
    <t>DataTypeName</t>
  </si>
  <si>
    <t>Simulink</t>
  </si>
  <si>
    <t>DataTypeMode</t>
  </si>
  <si>
    <t>Signedness</t>
  </si>
  <si>
    <t>IsAlias</t>
  </si>
  <si>
    <t>DataScope</t>
  </si>
  <si>
    <t>WordLength</t>
  </si>
  <si>
    <t>FractionLength</t>
  </si>
  <si>
    <t>Min</t>
  </si>
  <si>
    <t>Max</t>
  </si>
  <si>
    <t>Headerfile</t>
  </si>
  <si>
    <t>Fomulas</t>
  </si>
  <si>
    <t>Comment</t>
  </si>
  <si>
    <t>uint8</t>
  </si>
  <si>
    <t>Standard definition</t>
  </si>
  <si>
    <t>int8</t>
  </si>
  <si>
    <t>uint16</t>
  </si>
  <si>
    <t>int16</t>
  </si>
  <si>
    <t>uint32</t>
  </si>
  <si>
    <t>int32</t>
  </si>
  <si>
    <t>single</t>
  </si>
  <si>
    <t>boolean</t>
  </si>
  <si>
    <t>Enum: EGM</t>
  </si>
  <si>
    <t>Enum:ECM</t>
  </si>
  <si>
    <t>Enum:ESM</t>
  </si>
  <si>
    <t>Enum:TQL</t>
  </si>
  <si>
    <t>Enum:EIS</t>
  </si>
  <si>
    <t>Enum:EiceSilOPM</t>
  </si>
  <si>
    <t>Enum:EiceSilSM</t>
  </si>
  <si>
    <t>Bus:CDDIN1ST</t>
  </si>
  <si>
    <t>Bus:CDDIN2ST</t>
  </si>
  <si>
    <t>Bus:CDDOUTST</t>
  </si>
  <si>
    <t>Bus:CANRXDST</t>
  </si>
  <si>
    <t>Bus:CANTXDST</t>
  </si>
  <si>
    <t>Bus:GPOST</t>
  </si>
  <si>
    <t>Bus:GPIST</t>
  </si>
  <si>
    <t>Bus:VADC0ST</t>
  </si>
  <si>
    <t>Bus: CDDHwMgrST</t>
  </si>
  <si>
    <t>Bus: Sig10ms20ST</t>
  </si>
  <si>
    <t>Bus: Sig10ms02ST</t>
  </si>
  <si>
    <t>Bus: Sig1ms02ST</t>
  </si>
  <si>
    <t>Bus: VADC2ST</t>
  </si>
  <si>
    <t>Bus: VADC1ST</t>
  </si>
  <si>
    <t>Bus: Bsw2Asw10msST</t>
  </si>
  <si>
    <t>ParameterName</t>
  </si>
  <si>
    <t>Value</t>
  </si>
  <si>
    <t>DataType</t>
  </si>
  <si>
    <t>Unit</t>
  </si>
  <si>
    <t>StorageClass</t>
  </si>
  <si>
    <t>CustomStorageClass</t>
  </si>
  <si>
    <t>HeaderFile</t>
  </si>
  <si>
    <t>DefinitionFile</t>
  </si>
  <si>
    <t>facAdc2uDclnk_C</t>
  </si>
  <si>
    <t>Parameter</t>
  </si>
  <si>
    <t>NA</t>
  </si>
  <si>
    <t>Custom</t>
  </si>
  <si>
    <t>ConstVolatile</t>
  </si>
  <si>
    <t>Parameter.h</t>
  </si>
  <si>
    <t>Parameter.c</t>
  </si>
  <si>
    <t>Ratio of HVvoltage to actual value</t>
  </si>
  <si>
    <t>facAdc2iPh_C</t>
  </si>
  <si>
    <t>Ratio of phase current to actual value</t>
  </si>
  <si>
    <t>RawDvtAbsMax_C</t>
  </si>
  <si>
    <t>I phase calibration</t>
  </si>
  <si>
    <t>dataOfsRawMax_C</t>
  </si>
  <si>
    <t>dataOfsRawMin_C</t>
  </si>
  <si>
    <t>offsAgRtrElec_C</t>
  </si>
  <si>
    <t>Offset angle</t>
  </si>
  <si>
    <t>TrqSetAlOfsCal_C</t>
  </si>
  <si>
    <t>Nm</t>
  </si>
  <si>
    <t>torque setpoint for rotor position calibraion</t>
  </si>
  <si>
    <t>SpdSetAlOfsCal_C</t>
  </si>
  <si>
    <t>speed setpoint for rotor position calibraion</t>
  </si>
  <si>
    <t>CodeChkOfsCal_C</t>
  </si>
  <si>
    <t>UsdScalThdOfsCal_C</t>
  </si>
  <si>
    <t>Usd  threhold in rotor position calibraion</t>
  </si>
  <si>
    <t>SWTPGPHA</t>
  </si>
  <si>
    <t>Phase list definition</t>
  </si>
  <si>
    <t>CntValTotMax_P</t>
  </si>
  <si>
    <t>FID_OverPhaCurr</t>
  </si>
  <si>
    <t>FID Over phase calibration</t>
  </si>
  <si>
    <t>FID_TranToErr</t>
  </si>
  <si>
    <t>uDclinkOverHi_C</t>
  </si>
  <si>
    <t>V</t>
  </si>
  <si>
    <t>Dclink overvoltage threshold high</t>
  </si>
  <si>
    <t>uDclinkOverLo_C</t>
  </si>
  <si>
    <t>Dclink overvoltage threshold low</t>
  </si>
  <si>
    <t>uDcLinkPreChrg_C</t>
  </si>
  <si>
    <t>Dclink overvoltage precharge threshold</t>
  </si>
  <si>
    <t>uDclinkUnderHi_C</t>
  </si>
  <si>
    <t>Dclink undervoltage threshold high</t>
  </si>
  <si>
    <t>uDclinkUnderLo_C</t>
  </si>
  <si>
    <t>Dclink undervoltage threshold low</t>
  </si>
  <si>
    <t>ubrMax_C</t>
  </si>
  <si>
    <t>ubr maximum</t>
  </si>
  <si>
    <t>uThdUmax_C</t>
  </si>
  <si>
    <t>Inverter 12V shut off threhold</t>
  </si>
  <si>
    <t>uThdURng1_C</t>
  </si>
  <si>
    <t>Inverter normal work over this threhold</t>
  </si>
  <si>
    <t>ubrMin_C</t>
  </si>
  <si>
    <t>ubr minimum</t>
  </si>
  <si>
    <t>uThdURng1Hyst_C</t>
  </si>
  <si>
    <t>Hystysis voltage</t>
  </si>
  <si>
    <t>uThdURng3Hyst_C</t>
  </si>
  <si>
    <t>Range 3 hystysis voltage</t>
  </si>
  <si>
    <t>vdd5Max_C</t>
  </si>
  <si>
    <t>vdd5 maximum</t>
  </si>
  <si>
    <t>vdd5Min_C</t>
  </si>
  <si>
    <t>vdd5 minimum</t>
  </si>
  <si>
    <t>vdd16HiRng_C</t>
  </si>
  <si>
    <t>vdd16 maximum</t>
  </si>
  <si>
    <t>vdd16LoRng_C</t>
  </si>
  <si>
    <t>Vdd16 minimum</t>
  </si>
  <si>
    <t>uVdd5g1OverHi_C</t>
  </si>
  <si>
    <t>Vdd5g1 overvoltage threshold high</t>
  </si>
  <si>
    <t>uVdd5g1OverLo_C</t>
  </si>
  <si>
    <t>Vdd5g1 overvoltage threshold low</t>
  </si>
  <si>
    <t>uVdd5g1UnderHi_C</t>
  </si>
  <si>
    <t>Vdd5g1 undervoltage threshold high</t>
  </si>
  <si>
    <t>uVdd5g1UnderLo_C</t>
  </si>
  <si>
    <t>Vdd5g1 undervoltage threshold low</t>
  </si>
  <si>
    <t>uVdd5g2OverHi_C</t>
  </si>
  <si>
    <t>Vdd5g2 overvoltage threshold high</t>
  </si>
  <si>
    <t>uVdd5g2OverLo_C</t>
  </si>
  <si>
    <t>Vdd5g2 overvoltage threshold low</t>
  </si>
  <si>
    <t>uVdd5g2UnderHi_C</t>
  </si>
  <si>
    <t>Vdd5g2 undervoltage threshold high</t>
  </si>
  <si>
    <t>uVdd5g2UnderLo_C</t>
  </si>
  <si>
    <t>Vdd5g2 undervoltage threshold low</t>
  </si>
  <si>
    <t>vdd3v3Max_C</t>
  </si>
  <si>
    <t>vdd3v3 maximum</t>
  </si>
  <si>
    <t>vdd3v3Min_C</t>
  </si>
  <si>
    <t>vdd3v3 minimum</t>
  </si>
  <si>
    <t>SafeState_C</t>
  </si>
  <si>
    <t>EGM.Freewheel</t>
  </si>
  <si>
    <t>EGMclass</t>
  </si>
  <si>
    <t>EGMClass</t>
  </si>
  <si>
    <t>safe state definition: uASC, oASC, FWL</t>
  </si>
  <si>
    <t>swtMpgPha_C</t>
  </si>
  <si>
    <t>Inverter UVW to Motor UVW connect mode, Phase list definition</t>
  </si>
  <si>
    <t>SC_TrqMax_P</t>
  </si>
  <si>
    <t>Global maximum torque  in application</t>
  </si>
  <si>
    <t>SC_TrqMaxCore2_P</t>
  </si>
  <si>
    <t>SC_PwrMax_P</t>
  </si>
  <si>
    <t>W</t>
  </si>
  <si>
    <t>Global maximum power in application</t>
  </si>
  <si>
    <t>SC_IsMax_P</t>
  </si>
  <si>
    <t>A</t>
  </si>
  <si>
    <t>Global maximum current rms value</t>
  </si>
  <si>
    <t>SC_p_P</t>
  </si>
  <si>
    <t>pmsm.PolePairs</t>
  </si>
  <si>
    <t>Emachine pole pairs</t>
  </si>
  <si>
    <t>SC_pMon_P</t>
  </si>
  <si>
    <t>SC_Ld_P</t>
  </si>
  <si>
    <t>H</t>
  </si>
  <si>
    <t>typical d-axis inductance</t>
  </si>
  <si>
    <t>SC_Lq_P</t>
  </si>
  <si>
    <t>typical q-axis inductance</t>
  </si>
  <si>
    <t>SC_pRsv_P</t>
  </si>
  <si>
    <t>pmsm.RslvrPolePairs</t>
  </si>
  <si>
    <t>Resolver pole pairs</t>
  </si>
  <si>
    <t>SC_Rs20_P</t>
  </si>
  <si>
    <t>(pmsm.RsA+pmsm.RsB+pmsm.RsC)/3</t>
  </si>
  <si>
    <t>Ohm</t>
  </si>
  <si>
    <t>typical stator phase resistance at 20degree</t>
  </si>
  <si>
    <t>SC_Psi_P</t>
  </si>
  <si>
    <t>typical psi peak value</t>
  </si>
  <si>
    <t>SC_facMaxMI</t>
  </si>
  <si>
    <t>Maximum modulation rate at SVPWM mode</t>
  </si>
  <si>
    <t>SC_facUsMaxTorCal_P</t>
  </si>
  <si>
    <t>Maximum voltage in fulxweaking control for maximum torque calculation</t>
  </si>
  <si>
    <t>kpIdcMax_P</t>
  </si>
  <si>
    <t>kp for the calculation of the motor power, depending on the maximum Dclink  current</t>
  </si>
  <si>
    <t>kiIdcMax_P</t>
  </si>
  <si>
    <t>ki for the calculation of the motor power, depending on the maximum Dclink  current</t>
  </si>
  <si>
    <t>OmMechnLimMin_P</t>
  </si>
  <si>
    <t>rad/s</t>
  </si>
  <si>
    <t>Min n limit of Om.</t>
  </si>
  <si>
    <t>trqAddMax_P</t>
  </si>
  <si>
    <t>Correction factor to correct the faulty power loss (=&gt; must be supplied with zero if the power loss is correct)</t>
  </si>
  <si>
    <t>pwrIdcMaxDev_P</t>
  </si>
  <si>
    <t>power threshold which used to avoid bIdcMotLimActv status jump when IdcMax derating</t>
  </si>
  <si>
    <t>IdcMin_P</t>
  </si>
  <si>
    <t>Battery limited charge current in generator mode</t>
  </si>
  <si>
    <t>trqAddMin_P</t>
  </si>
  <si>
    <t>pwrIdcMinDev_P</t>
  </si>
  <si>
    <t>power threshold which used to avoid bIdcMotLimActv status jump when IdcMin derating</t>
  </si>
  <si>
    <t>kpIdcMin_P</t>
  </si>
  <si>
    <t>kp for the calculation of the motor power, depending on the minimum Dclink  current</t>
  </si>
  <si>
    <t>kiIdcMin_P</t>
  </si>
  <si>
    <t>ki for the calculation of the motor power, depending on the minimum Dclink  current</t>
  </si>
  <si>
    <t>SC_fLoLim_C</t>
  </si>
  <si>
    <t>Hz</t>
  </si>
  <si>
    <t>low threshold when combining trqMin and trqMax</t>
  </si>
  <si>
    <t>SC_fUpLim_C</t>
  </si>
  <si>
    <t>high threshold when combining trqMin and trqMax</t>
  </si>
  <si>
    <t>IdcMaxMdl_C</t>
  </si>
  <si>
    <t>Maximum dclink current override value</t>
  </si>
  <si>
    <t>IdcMinMdl_C</t>
  </si>
  <si>
    <t>Minimum dclink current override value</t>
  </si>
  <si>
    <t>UdcMaxMdl_C</t>
  </si>
  <si>
    <t>Maximum dclink voltage override value</t>
  </si>
  <si>
    <t>UdcMinMdl_C</t>
  </si>
  <si>
    <t>Minimum dclink voltage override value</t>
  </si>
  <si>
    <t>stHvbMaiRlyMdl_C</t>
  </si>
  <si>
    <t>High voltage contactor ON status override value</t>
  </si>
  <si>
    <t>KpHighMdl_C</t>
  </si>
  <si>
    <t>uint or number shall be verified.&lt;TODO&gt;</t>
  </si>
  <si>
    <t>KpLowMdl_C</t>
  </si>
  <si>
    <t>NDeltaBoundMdl_C</t>
  </si>
  <si>
    <t>rpm</t>
  </si>
  <si>
    <t>xxx</t>
  </si>
  <si>
    <t>TrqPAmaxMdl_C</t>
  </si>
  <si>
    <t>TrqPAminMdl_C</t>
  </si>
  <si>
    <t>TrqMaxMdl_C</t>
  </si>
  <si>
    <t>Maximum torque override value</t>
  </si>
  <si>
    <t>TrqMinMdl_C</t>
  </si>
  <si>
    <t>Minimum torque override value</t>
  </si>
  <si>
    <t>cTrqSlopeMaxMdl_C</t>
  </si>
  <si>
    <t>Nm/s</t>
  </si>
  <si>
    <t>Maximum torque step override value</t>
  </si>
  <si>
    <t>NSetPMdl_C</t>
  </si>
  <si>
    <t>n speed setpoint override value</t>
  </si>
  <si>
    <t>TrqSetPMdl_C</t>
  </si>
  <si>
    <t>torque setpoint override value</t>
  </si>
  <si>
    <t>UdcSetPMdl_C</t>
  </si>
  <si>
    <t>Dclink voltage setpoint override value</t>
  </si>
  <si>
    <t>stModeReqMdl_C</t>
  </si>
  <si>
    <t>ECM.Init</t>
  </si>
  <si>
    <t>ECMClass</t>
  </si>
  <si>
    <t>inverter mode request override value</t>
  </si>
  <si>
    <t>FrqStrSetPMdl_C</t>
  </si>
  <si>
    <t>stator frequency setpoint override value</t>
  </si>
  <si>
    <t>IsSetPMdl_C</t>
  </si>
  <si>
    <t>stator current setpoint override value</t>
  </si>
  <si>
    <t>OfsAlMdl_C</t>
  </si>
  <si>
    <t>resolver offset angle override value</t>
  </si>
  <si>
    <t>PumpCtlMdl_C</t>
  </si>
  <si>
    <t>Pump control CANmand override value</t>
  </si>
  <si>
    <t>bSetOfsAlMdl_C</t>
  </si>
  <si>
    <t>status indicate the correct offset angle override value</t>
  </si>
  <si>
    <t>bUseFrqStrSyntMdl_C</t>
  </si>
  <si>
    <t xml:space="preserve">angle CANes from the speed generated </t>
  </si>
  <si>
    <t>flgInvrCanActvnCmdMdl_C</t>
  </si>
  <si>
    <t>Activates CAN activity of inverter, not supported</t>
  </si>
  <si>
    <t>TrqDmpLimMdl_C</t>
  </si>
  <si>
    <t>damping torque limited</t>
  </si>
  <si>
    <t>TrqDmpMaxMdl_C</t>
  </si>
  <si>
    <t>Maximum damping torque</t>
  </si>
  <si>
    <t>kDmpMdl_C</t>
  </si>
  <si>
    <t>damping k</t>
  </si>
  <si>
    <t>ctrlModeMdl_C</t>
  </si>
  <si>
    <t>debug command mode</t>
  </si>
  <si>
    <t>iDCmdMdl_C</t>
  </si>
  <si>
    <t>debug id control command</t>
  </si>
  <si>
    <t>iQCmdMdl_C</t>
  </si>
  <si>
    <t>debug iq control command</t>
  </si>
  <si>
    <t>uAlphaCmdMdl_C</t>
  </si>
  <si>
    <t>debug ua control command</t>
  </si>
  <si>
    <t>uBetaCmdMdl_C</t>
  </si>
  <si>
    <t>debug ub control command</t>
  </si>
  <si>
    <t>uDCmdMdl_C</t>
  </si>
  <si>
    <t>debug ud control command</t>
  </si>
  <si>
    <t>uQCmdMdl_C</t>
  </si>
  <si>
    <t>debug uq control command</t>
  </si>
  <si>
    <t>stDstCReqMdl_C</t>
  </si>
  <si>
    <t>requested state of damping control</t>
  </si>
  <si>
    <t>IdcMaxOvrd_C</t>
  </si>
  <si>
    <t>override flag</t>
  </si>
  <si>
    <t>IdcMinOvrd_C</t>
  </si>
  <si>
    <t>UdcMaxOvrd_C</t>
  </si>
  <si>
    <t>UdcMinOvrd_C</t>
  </si>
  <si>
    <t>stHvbMaiRlyOvrd_C</t>
  </si>
  <si>
    <t>KpHighOvrd_C</t>
  </si>
  <si>
    <t>KpLowOvrd_C</t>
  </si>
  <si>
    <t>NDeltaBoundOvrd_C</t>
  </si>
  <si>
    <t>TrqPAmaxOvrd_C</t>
  </si>
  <si>
    <t>TrqPAminOvrd_C</t>
  </si>
  <si>
    <t>TrqMaxOvrd_C</t>
  </si>
  <si>
    <t>TrqMinOvrd_C</t>
  </si>
  <si>
    <t>cTrqSlopeMaxOvrd_C</t>
  </si>
  <si>
    <t>NSetPOvrd_C</t>
  </si>
  <si>
    <t>TrqSetPOvrd_C</t>
  </si>
  <si>
    <t>UdcSetPOvrd_C</t>
  </si>
  <si>
    <t>stModeReqOvrd_C</t>
  </si>
  <si>
    <t>FrqStrSetPOvrd_C</t>
  </si>
  <si>
    <t>IsSetPOvrd_C</t>
  </si>
  <si>
    <t>OfsAlOvrd_C</t>
  </si>
  <si>
    <t>PumpCtlOvrd_C</t>
  </si>
  <si>
    <t>bSetOfsAlOvrd_C</t>
  </si>
  <si>
    <t>bUseFrqStrSyntOvrd_C</t>
  </si>
  <si>
    <t>flgInvrCanActvnCmdOvrd_C</t>
  </si>
  <si>
    <t>TrqDmpLimOvrd_C</t>
  </si>
  <si>
    <t>TrqDmpMaxOvrd_C</t>
  </si>
  <si>
    <t>kDmpOvrd_C</t>
  </si>
  <si>
    <t>stDstCReqOvrd_C</t>
  </si>
  <si>
    <t>ctrlModeOvrd_C</t>
  </si>
  <si>
    <t>iDCmdOvrd_C</t>
  </si>
  <si>
    <t>iQCmdOvrd_C</t>
  </si>
  <si>
    <t>uAlphaCmdOvrd_C</t>
  </si>
  <si>
    <t>uBetaCmdOvrd_C</t>
  </si>
  <si>
    <t>uDCmdOvrd_C</t>
  </si>
  <si>
    <t>uQCmdOvrd_C</t>
  </si>
  <si>
    <t>trqPMaxNCtrl_C</t>
  </si>
  <si>
    <t>nCtrl mode, maximum yp</t>
  </si>
  <si>
    <t>kpNCtrl_C</t>
  </si>
  <si>
    <t>nCtrl mode, kp</t>
  </si>
  <si>
    <t>kiMultdtNCtrl_C</t>
  </si>
  <si>
    <t>nCtrl mode, ki multiply dt</t>
  </si>
  <si>
    <t>trqPMaxPosnCtrl_C</t>
  </si>
  <si>
    <t>PosnCtrl mode, maximum yp</t>
  </si>
  <si>
    <t>kpPosnCtrl_C</t>
  </si>
  <si>
    <t>PosnCtrl  mode, kp</t>
  </si>
  <si>
    <t>kiMultdtPosnCtrl_C</t>
  </si>
  <si>
    <t>PosnCtrl  mode, ki multiply dt</t>
  </si>
  <si>
    <t>kpIsCtrl_C</t>
  </si>
  <si>
    <t>IsCtrl mode, kp</t>
  </si>
  <si>
    <t>facNCtrlRateLim_C</t>
  </si>
  <si>
    <t>rpm/s</t>
  </si>
  <si>
    <t>Speed step response time</t>
  </si>
  <si>
    <t>kiMultdtIsCtrl_C</t>
  </si>
  <si>
    <t>IsCtrl mode, ki multiply dt</t>
  </si>
  <si>
    <t>RawOfsMax_C</t>
  </si>
  <si>
    <t>zero current sensing valid ADC count high threshold</t>
  </si>
  <si>
    <t>RawOfsMin_C</t>
  </si>
  <si>
    <t>zero current sensing valid ADC count low threshold</t>
  </si>
  <si>
    <t>CntValTotMax_C</t>
  </si>
  <si>
    <t xml:space="preserve">counts on ADC counts out of rang </t>
  </si>
  <si>
    <t>tInvMax_C</t>
  </si>
  <si>
    <t>degC</t>
  </si>
  <si>
    <t>IGBT module temperature maximum</t>
  </si>
  <si>
    <t>tInvMin_C</t>
  </si>
  <si>
    <t>tStrMax_C</t>
  </si>
  <si>
    <t>Em stator temperature maximum</t>
  </si>
  <si>
    <t>tStrMin_C</t>
  </si>
  <si>
    <t>IEm stator  temperature maximum</t>
  </si>
  <si>
    <t>tStrHiThd_C</t>
  </si>
  <si>
    <t>range switch threshold for Em stator temperature</t>
  </si>
  <si>
    <t>tStrLoThd_C</t>
  </si>
  <si>
    <t>iPhaMax_C</t>
  </si>
  <si>
    <t>current sensor signal maximum</t>
  </si>
  <si>
    <t>iPhaMin_C</t>
  </si>
  <si>
    <t>current sensor signal minimum</t>
  </si>
  <si>
    <t>iPhaHiRng_C</t>
  </si>
  <si>
    <t>current sensor signal high range fault</t>
  </si>
  <si>
    <t>iPhaLoRng_C</t>
  </si>
  <si>
    <t>current sensor signal low range fault</t>
  </si>
  <si>
    <t>uDcMax_C</t>
  </si>
  <si>
    <t>dclink voltage maximum</t>
  </si>
  <si>
    <t>uDcMin_C</t>
  </si>
  <si>
    <t>dclink voltage minimum</t>
  </si>
  <si>
    <t>uDcHiRng_C</t>
  </si>
  <si>
    <t>dclink voltage signal high range fault</t>
  </si>
  <si>
    <t>uDcLoRng_C</t>
  </si>
  <si>
    <t>dclink voltage  signal low range fault</t>
  </si>
  <si>
    <t>facAdc2vddH_C</t>
  </si>
  <si>
    <t>1/(sensors.ADC.VoltsToDriverUnits)/(sensors.VddH.VoltToVolt)/16</t>
  </si>
  <si>
    <t>factor for ADC to VddH voltage</t>
  </si>
  <si>
    <t>facAdc2vdd16_C</t>
  </si>
  <si>
    <t>1/(sensors.ADC.VoltsToDriverUnits)/(sensors.Vdd16.VoltToVolt)/16</t>
  </si>
  <si>
    <t>factor for ADC to Vdd14 voltage</t>
  </si>
  <si>
    <t>facAdc2vdd5g1_C</t>
  </si>
  <si>
    <t>1/(sensors.ADC.VoltsToDriverUnits)/(sensors.Vdd5g1.VoltToVolt)/16</t>
  </si>
  <si>
    <t>factor for ADC to Vdd5g1 voltage</t>
  </si>
  <si>
    <t>facAdc2vdd5g2_C</t>
  </si>
  <si>
    <t>1/(sensors.ADC.VoltsToDriverUnits)/(sensors.Vdd5g2.VoltToVolt)/16</t>
  </si>
  <si>
    <t>factor for ADC to Vdd5g2 voltage</t>
  </si>
  <si>
    <t>facAdc2vdd5g3_C</t>
  </si>
  <si>
    <t>1/(sensors.ADC.VoltsToDriverUnits)/(sensors.Vdd5g3.VoltToVolt)/16</t>
  </si>
  <si>
    <t>factor for ADC to Vdd5g3 voltage</t>
  </si>
  <si>
    <t>facAdc2vdd5com_C</t>
  </si>
  <si>
    <t>1/(sensors.ADC.VoltsToDriverUnits)/(sensors.Vdd5com.VoltToVolt)/16</t>
  </si>
  <si>
    <t>factor for ADC to Vdd5com voltage</t>
  </si>
  <si>
    <t>facAdc2vdd3v3_C</t>
  </si>
  <si>
    <t>1/(sensors.ADC.VoltsToDriverUnits)/(sensors.Vdd3v3.VoltToVolt)/16</t>
  </si>
  <si>
    <t>facAdc2ubr_C</t>
  </si>
  <si>
    <t>1/(sensors.ADC.VoltsToDriverUnits)/(sensors.ubr.VoltToVolt)/16</t>
  </si>
  <si>
    <t>factor for ADC to ubr voltage</t>
  </si>
  <si>
    <t>facAdc2ubr2_C</t>
  </si>
  <si>
    <t>1/(sensors.ADC.VoltsToDriverUnits)/(sensors.ubr2.VoltToVolt)/16</t>
  </si>
  <si>
    <t>facAdc2vref_C</t>
  </si>
  <si>
    <t>1/(sensors.ADC.VoltsToDriverUnits)/(0.499)/16</t>
  </si>
  <si>
    <t>facAdc2vdd15fb_C</t>
  </si>
  <si>
    <t>1/(sensors.ADC.VoltsToDriverUnits)/(sensors.Vdd15FB.VoltToVolt)/16</t>
  </si>
  <si>
    <t>facAdc2uDclnkMon_C</t>
  </si>
  <si>
    <t>Ratio of HVvoltage to actual value in Level2 monitoring</t>
  </si>
  <si>
    <t>trqDmpSta_C</t>
  </si>
  <si>
    <t>static dampling torque, usually 0</t>
  </si>
  <si>
    <t>ki_C</t>
  </si>
  <si>
    <t>ki for n loop, keep 0 temperary</t>
  </si>
  <si>
    <t>tauOscDrvTrn_C</t>
  </si>
  <si>
    <t>osc tau in drive train</t>
  </si>
  <si>
    <t>uReadyHv_P</t>
  </si>
  <si>
    <t>battery voltage ready threshold</t>
  </si>
  <si>
    <t>uNotReadyHv_P</t>
  </si>
  <si>
    <t>battery voltage not ready threshold</t>
  </si>
  <si>
    <t>stIsDesCal_P</t>
  </si>
  <si>
    <t>EIS.Calc</t>
  </si>
  <si>
    <t>override switch of the idDes iqDes in MCT</t>
  </si>
  <si>
    <t>bIsCtl_P</t>
  </si>
  <si>
    <t>Is Ctrl mode</t>
  </si>
  <si>
    <t>IsSet_P</t>
  </si>
  <si>
    <t>Is set when is phi control, must be positive</t>
  </si>
  <si>
    <t>PhiSet_P</t>
  </si>
  <si>
    <t>deg</t>
  </si>
  <si>
    <t>angle set when is phi control (-180~180)deg</t>
  </si>
  <si>
    <t>IdSet_P</t>
  </si>
  <si>
    <t>id set when id iq control</t>
  </si>
  <si>
    <t>IqSet_P</t>
  </si>
  <si>
    <t>iq set when id iq control</t>
  </si>
  <si>
    <t>IsSetOfsCal_P</t>
  </si>
  <si>
    <t>IdMinLim_C</t>
  </si>
  <si>
    <t>minimum fluxweakening id</t>
  </si>
  <si>
    <t>tauIsxPT1_C</t>
  </si>
  <si>
    <t>s</t>
  </si>
  <si>
    <t>time constant for is filter</t>
  </si>
  <si>
    <t>tauUsxPT1_C</t>
  </si>
  <si>
    <t>time constant for ud filter</t>
  </si>
  <si>
    <t>tauUdcPT1_C</t>
  </si>
  <si>
    <t>time constant for udc filter</t>
  </si>
  <si>
    <t>facPerdStepMax_C</t>
  </si>
  <si>
    <t>Maximum tiperd step coeffcient every PWM period,tiPerd*facTiRFMax_C*facPerdStepMax_C</t>
  </si>
  <si>
    <t>flgTiPerdSel_C</t>
  </si>
  <si>
    <t>tiPerd select, 0,100us;1,from MAP</t>
  </si>
  <si>
    <t>facTiRFMax_C</t>
  </si>
  <si>
    <t>Maximum Random effcioent to current period,tiPerd*facTiRFMax_C</t>
  </si>
  <si>
    <t>KiFluxWeakening_C</t>
  </si>
  <si>
    <t>ki for flux weakening control</t>
  </si>
  <si>
    <t>KpFluxWeakening_C</t>
  </si>
  <si>
    <t>kp for flux weakening control</t>
  </si>
  <si>
    <t>KiRslvPI_C</t>
  </si>
  <si>
    <t>ki for software resolver decode control</t>
  </si>
  <si>
    <t>KpRslvPI_C</t>
  </si>
  <si>
    <t>kp for software resolver decode control</t>
  </si>
  <si>
    <t>KiRslvMonPI_C</t>
  </si>
  <si>
    <t>KpRslvMonPI_C</t>
  </si>
  <si>
    <t>frqIphaSumRatyMax_C</t>
  </si>
  <si>
    <t>Maximum frequency for phase current summum ratey check</t>
  </si>
  <si>
    <t>frqIphaSumRatyMin_C</t>
  </si>
  <si>
    <t>iIphaSumRatyMax_C</t>
  </si>
  <si>
    <t>Maximum current value for phase current summum ratey check</t>
  </si>
  <si>
    <t>dataRawPhaScb_C</t>
  </si>
  <si>
    <t>Phase current scb threshold</t>
  </si>
  <si>
    <t>dataRawPhaScg_C</t>
  </si>
  <si>
    <t>Phase current scg threshold</t>
  </si>
  <si>
    <t>dataRawOpenCir_C</t>
  </si>
  <si>
    <t>Phase current open circuit threshold</t>
  </si>
  <si>
    <t>facAdc2iPhMon_C</t>
  </si>
  <si>
    <t>1/(sensors.ADC.VoltsToDriverUnits)/(sensors.Current.AmpsToVolts)/16</t>
  </si>
  <si>
    <t>Ratio of phase current to actual value in Level2 monitoring</t>
  </si>
  <si>
    <t>dataIphaOfsRawMon_C</t>
  </si>
  <si>
    <t>I phase calibration in monitoring</t>
  </si>
  <si>
    <t>tauUdcPT1Mon_C</t>
  </si>
  <si>
    <t>time constant for udc filter in Level2 monitoring</t>
  </si>
  <si>
    <t>SC_PsiMon_P</t>
  </si>
  <si>
    <t>pmsm.FluxLinkage/1.414</t>
  </si>
  <si>
    <t>typical psi peak value in level2 monitoring</t>
  </si>
  <si>
    <t>trqCmpThdMonLv2_C</t>
  </si>
  <si>
    <t>Torque compare threhold in level2 torque monitoring</t>
  </si>
  <si>
    <t>trqASCThdMonLv2_C</t>
  </si>
  <si>
    <t>tauTrqMonLv2_C</t>
  </si>
  <si>
    <t>Torque calculate time constant</t>
  </si>
  <si>
    <t>flgIgrDfc_C</t>
  </si>
  <si>
    <t>Ignore DFC to failure mode</t>
  </si>
  <si>
    <t>cntPreFailrPerm_C</t>
  </si>
  <si>
    <t xml:space="preserve">Permited Prefailure time </t>
  </si>
  <si>
    <t>IsOCThd_C</t>
  </si>
  <si>
    <t>Software over phase current threhold</t>
  </si>
  <si>
    <t>excHiRng_C</t>
  </si>
  <si>
    <t>Excition high range threhold</t>
  </si>
  <si>
    <t>excLoRng_C</t>
  </si>
  <si>
    <t>Excition low range threhold</t>
  </si>
  <si>
    <t>excOfsOvrRng_C</t>
  </si>
  <si>
    <t>Excition offset over  threhold</t>
  </si>
  <si>
    <t>excDiffOvrRng_C</t>
  </si>
  <si>
    <t>Excition swing over  threhold</t>
  </si>
  <si>
    <t>excOpnWire_C</t>
  </si>
  <si>
    <t>Excition open wire threhold</t>
  </si>
  <si>
    <t>sincosHiRng_C</t>
  </si>
  <si>
    <t>Resolver sin and cos signal high range threhold</t>
  </si>
  <si>
    <t>sincosLoRng_C</t>
  </si>
  <si>
    <t>Resolver sin and cos signal low range threhold</t>
  </si>
  <si>
    <t>sincosOfsOvrRng_C</t>
  </si>
  <si>
    <t>Sin cos singnal offset over  threhold</t>
  </si>
  <si>
    <t>frqSincosHiLoRngThd_C</t>
  </si>
  <si>
    <t>frequency threshold for resolver sin and cos high low range check</t>
  </si>
  <si>
    <t>iICtrlRatyThd_C</t>
  </si>
  <si>
    <t>Is or Us control error over threhold diag</t>
  </si>
  <si>
    <t>arcLossTrck_C</t>
  </si>
  <si>
    <t>arc</t>
  </si>
  <si>
    <t>angle error of resolver track PI</t>
  </si>
  <si>
    <t>facAngOfsDrftThd_C</t>
  </si>
  <si>
    <t>Ud/Uq maximum at 0 torque middle speed</t>
  </si>
  <si>
    <t>ratSinCosThd_C</t>
  </si>
  <si>
    <t>resolver abs(cos/sin-1)&gt;thd</t>
  </si>
  <si>
    <t>tIgbtTjOvrThd_C</t>
  </si>
  <si>
    <t>IGBT Tj derating temperature</t>
  </si>
  <si>
    <t>frqIphaAmpRatyThd_C</t>
  </si>
  <si>
    <t>frequency threshold for phase current  amplitude ratey check</t>
  </si>
  <si>
    <t>iIphaAmpRatyThd_C</t>
  </si>
  <si>
    <t>current threshold for phase current  amplitude ratey check</t>
  </si>
  <si>
    <t>iIphaOfsRatyThd_C</t>
  </si>
  <si>
    <t>offset  threshold for phase current  amplitude ratey check</t>
  </si>
  <si>
    <t>nTransFwlAsc_C</t>
  </si>
  <si>
    <t>n speed setpoint freewheeling and ASC transition</t>
  </si>
  <si>
    <t>nHystFwlAsc_C</t>
  </si>
  <si>
    <t>n speed hysteresis freewheeling and ASC transition</t>
  </si>
  <si>
    <t>facTrqRateLim_C</t>
  </si>
  <si>
    <t>Torque step response time</t>
  </si>
  <si>
    <t>agNegTrans_C</t>
  </si>
  <si>
    <t>angle positive negtive transition</t>
  </si>
  <si>
    <t>wNegTrans_C</t>
  </si>
  <si>
    <t>speed positive negtive transition</t>
  </si>
  <si>
    <t>IsRate_C</t>
  </si>
  <si>
    <t>Continous current, rate current</t>
  </si>
  <si>
    <t>tauIsHeatPnt_C</t>
  </si>
  <si>
    <t>Heat point time constant, thermal test</t>
  </si>
  <si>
    <t>tauTrqDmpDelay_C</t>
  </si>
  <si>
    <t>Time constant for Active damping control speed delay</t>
  </si>
  <si>
    <t>tauTrqDmpAvrg_C</t>
  </si>
  <si>
    <t>Time constant for Active damping control speed average</t>
  </si>
  <si>
    <t>facTrqDmpGain_C</t>
  </si>
  <si>
    <t>Gain for Active damping control torque generate</t>
  </si>
  <si>
    <t>kpIsH6Ctrl_C</t>
  </si>
  <si>
    <t>Kp, harmnoic compensation control of 6th</t>
  </si>
  <si>
    <t>kiIsH6Ctrl_C</t>
  </si>
  <si>
    <t>Ki, harmnoic compensation control of 6th</t>
  </si>
  <si>
    <t>enIsH6Ctrl_C</t>
  </si>
  <si>
    <t>Enable, harmnoic compensation control of 6th</t>
  </si>
  <si>
    <t>uDQMaxIsH6Ctrl_C</t>
  </si>
  <si>
    <t>Maximum control voltage, harmnoic compensation control of 6th</t>
  </si>
  <si>
    <t>tiPosnHold_C</t>
  </si>
  <si>
    <t>Position hold time</t>
  </si>
  <si>
    <t>f32_P_MaxTrq_Nm</t>
  </si>
  <si>
    <t>Todo</t>
  </si>
  <si>
    <t>f32_P_MinTrq_Nm</t>
  </si>
  <si>
    <t>g_msgCore0to2_maxFwcCurRatio</t>
  </si>
  <si>
    <t>u16_P_MotorPair</t>
  </si>
  <si>
    <t>f32_P_AngleCompVol</t>
  </si>
  <si>
    <t>f32_P_IdPiMax</t>
  </si>
  <si>
    <t>f32_P_AngleCompCur</t>
  </si>
  <si>
    <t>f32_P_IdPiMin</t>
  </si>
  <si>
    <t>g_msgCore0to2_ratedVdc</t>
  </si>
  <si>
    <t>g_msgCore0to2_maxCur</t>
  </si>
  <si>
    <t>g_msgCore0to2_dbCompTime</t>
  </si>
  <si>
    <t>g_msgCore0to2_AfrKp</t>
  </si>
  <si>
    <t>g_msgCore0to2_AfrTi</t>
  </si>
  <si>
    <t>f32_P_Modulation</t>
  </si>
  <si>
    <t>f32_P_MotorPhi</t>
  </si>
  <si>
    <t>SC_Psi_P.Value</t>
  </si>
  <si>
    <t>f32_P_IdInIF_A</t>
  </si>
  <si>
    <t>f32_P_Uqmax</t>
  </si>
  <si>
    <t>f32_P_Modulation.Value+0.005</t>
  </si>
  <si>
    <t>f32_P_IdqFilter</t>
  </si>
  <si>
    <t>g_msgCore0to2_AcrKp</t>
  </si>
  <si>
    <t>g_msgCore0to2_AcrKi</t>
  </si>
  <si>
    <t>f32_P_FwcFilter</t>
  </si>
  <si>
    <t>g_msgCore0to2_pwmFrqSet</t>
  </si>
  <si>
    <t>f32_P_Tonoff</t>
  </si>
  <si>
    <t>f32_P_Tonoff2</t>
  </si>
  <si>
    <t>DeadPrd_P</t>
  </si>
  <si>
    <t>g_msgCore0to2_dbCompEn</t>
  </si>
  <si>
    <t>g_msgCore0to2_DecoupleEn</t>
  </si>
  <si>
    <t>g_msgCore0to2_Advance1En</t>
  </si>
  <si>
    <t>g_msgCore0to2_AsrFitlerTime</t>
  </si>
  <si>
    <t>FFW_enable</t>
  </si>
  <si>
    <t>g_msgCore0to2_CalibEn</t>
  </si>
  <si>
    <t>IdROL_C</t>
  </si>
  <si>
    <t>rotatedirection_C</t>
  </si>
  <si>
    <t>PWMFrqSwitch_C</t>
  </si>
  <si>
    <t>f32_P_Coef</t>
  </si>
  <si>
    <t>g_msgCore0to2_linearKpEn</t>
  </si>
  <si>
    <t>g_msgCore0to2_AcrKpStb</t>
  </si>
  <si>
    <t>g_msgCore0to2_AcrKiStb</t>
  </si>
  <si>
    <t>g_msgCore0to2_AcrSwtLoRpm</t>
  </si>
  <si>
    <t>g_msgCore0to2_AcrSwtHiRpm</t>
  </si>
  <si>
    <t>g_msgCore0to2_AcrKpLo</t>
  </si>
  <si>
    <t>g_msgCore0to2_AcrKiLo</t>
  </si>
  <si>
    <t>f32_SpeedFltCoef</t>
  </si>
  <si>
    <t>f32_P_SpdPoslimit_rpm</t>
  </si>
  <si>
    <t>Parameter0.h</t>
  </si>
  <si>
    <t>Parameter0.c</t>
  </si>
  <si>
    <t>f32_P_SpdNeglimit_rpm</t>
  </si>
  <si>
    <t>g_msgCore0to2_maxCur2</t>
  </si>
  <si>
    <t>g_msgCore0to2_maxCur.Value</t>
  </si>
  <si>
    <t>g_msgCore0to2_maxTrq</t>
  </si>
  <si>
    <t>f32_P_SpeedPiMaxRatio</t>
  </si>
  <si>
    <t>f32_P_SpeedPiMinRatio</t>
  </si>
  <si>
    <t>g_msgCore0to2_AsrKpHi</t>
  </si>
  <si>
    <t>g_msgCore0to2_AsrTiHi</t>
  </si>
  <si>
    <t>g_msgCore0to2_AsrKpLo</t>
  </si>
  <si>
    <t>g_msgCore0to2_AsrTiLo</t>
  </si>
  <si>
    <t>g_msgCore0to2_AsrSwtLoRpm</t>
  </si>
  <si>
    <t>g_msgCore0to2_AsrSwtHiRpm</t>
  </si>
  <si>
    <t>g_msgCore0to2_CalibEn2</t>
  </si>
  <si>
    <t>g_msgCore0to2_CalibEn.Value</t>
  </si>
  <si>
    <t>Spdratelimit_C</t>
  </si>
  <si>
    <t>Dimension</t>
  </si>
  <si>
    <t>Table</t>
  </si>
  <si>
    <t>min</t>
  </si>
  <si>
    <t>unit</t>
  </si>
  <si>
    <t>BreakPoint1</t>
  </si>
  <si>
    <t>BreakPoint2</t>
  </si>
  <si>
    <t>backup</t>
  </si>
  <si>
    <t>pwrGenMotnLim_T</t>
  </si>
  <si>
    <t>[0  1  1  1  0]</t>
  </si>
  <si>
    <t>[-12800 -12000 0 12000 12800]</t>
  </si>
  <si>
    <t xml:space="preserve"> </t>
  </si>
  <si>
    <t>Power limited by speed</t>
  </si>
  <si>
    <t>trqGenMotIdcLnkLim_T</t>
  </si>
  <si>
    <t>[-475 -450 0 450 475]</t>
  </si>
  <si>
    <t>Torque limited by DC current</t>
  </si>
  <si>
    <t>ratIsHeatPntLim_T</t>
  </si>
  <si>
    <t>[1 1  0.1 0.1]</t>
  </si>
  <si>
    <t>[0 100 110 200]</t>
  </si>
  <si>
    <t>Torque limited by Is heat accumulate</t>
  </si>
  <si>
    <t>pwrMotUdclnkLim_T</t>
  </si>
  <si>
    <t>[0 1 1 1 0]</t>
  </si>
  <si>
    <t>[180.0 200.0 350.0 490.0 510.0]</t>
  </si>
  <si>
    <t>Power in motor mode limited by (Vdc-Vdc_max_op)</t>
  </si>
  <si>
    <t>pwrGenUdclnkLim_T</t>
  </si>
  <si>
    <t>Power in generate mode limited by (Vdc-Vdc_max_op)</t>
  </si>
  <si>
    <t>trqMotTInvLim_T</t>
  </si>
  <si>
    <t>[1 0.5 0]</t>
  </si>
  <si>
    <t>[80 83 85]</t>
  </si>
  <si>
    <t>Torque in motor mode limited by IGBT junction temperature</t>
  </si>
  <si>
    <t>trqGenTInvLim_T</t>
  </si>
  <si>
    <t>Torque in generate mode limited by IGBT junction temperature</t>
  </si>
  <si>
    <t>trqMotTClntLim_T</t>
  </si>
  <si>
    <t>[80 85 90]</t>
  </si>
  <si>
    <t>Torque in motor mode limited by coolant temperature</t>
  </si>
  <si>
    <t>trqGenTClntLim_T</t>
  </si>
  <si>
    <t>Torque in generate mode limited by coolant temperature</t>
  </si>
  <si>
    <t>pwrMotTRtrLim_T</t>
  </si>
  <si>
    <t>[1 0]</t>
  </si>
  <si>
    <t>[140 165]</t>
  </si>
  <si>
    <t>Power in motor mode limited by rotor temperature</t>
  </si>
  <si>
    <t>pwrGenTRtrLim_T</t>
  </si>
  <si>
    <t>[1 0.06]</t>
  </si>
  <si>
    <t>Power in generate mode limited by rotor temperature</t>
  </si>
  <si>
    <t>trqMotTRtrLim_T</t>
  </si>
  <si>
    <t>Torque in motor mode limited by stator temperature</t>
  </si>
  <si>
    <t>trqGenTRtrLim_T</t>
  </si>
  <si>
    <t>[1 0.1]</t>
  </si>
  <si>
    <t>Torque in generate mode limited by stator temperature</t>
  </si>
  <si>
    <t>pwrMotTstrLim_T</t>
  </si>
  <si>
    <t>[1 0.95 0.8 0.2 0 ]</t>
  </si>
  <si>
    <t>[160:10:200]</t>
  </si>
  <si>
    <t>Power in motor mode limited by stator temperature</t>
  </si>
  <si>
    <t>pwrGenTstrLim_T</t>
  </si>
  <si>
    <t>Power in generate mode limited by stator temperature</t>
  </si>
  <si>
    <t>trqMotTstrLim_T</t>
  </si>
  <si>
    <t>trqGenTstrLim_T</t>
  </si>
  <si>
    <t>TrqEmMot_T</t>
  </si>
  <si>
    <t>[16.0 16.0 16.0 16.0 16.0 14.0 11.0 8.5 7.5 6.5 5.9 5.3 4.8 4.5 4.2 3.8 3.5 3.2 3.0 2.8 2.5 2.0 1.5 1.1 0.8 0.5 0.0]</t>
  </si>
  <si>
    <t>[0.0 500.0 1000.0 1500.0 2000.0 2500.0 3000.0 3500.0 4000.0 4500.0 5000.0  5500.0  6000.0  6500.0  7000.0 7500.0 8000.0 8500.0 9000.0 9500.0 10000.0 10500.0 11000.0 11500.0 12000.0 12500.0 13000.0]</t>
  </si>
  <si>
    <t>Torque in motor mode limited by DC link voltage and motor speed</t>
  </si>
  <si>
    <t>TrqEmGen_T</t>
  </si>
  <si>
    <t>[-16.0 -16.0 -16.0 -16.0 -16.0 -14.0 -11.0 -8.5 -7.5 -6.5 -5.9 -5.3 -4.8 -4.5 -4.2 -3.8 -3.5 -3.2 -3.0 -2.8 -2.5 -2.0 -1.5 -1.1 -0.8 -0.5 -0.0]</t>
  </si>
  <si>
    <t>Torque in generate mode limited by DC link voltage and motor speed</t>
  </si>
  <si>
    <t>pwrLossDrvMot_T</t>
  </si>
  <si>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</si>
  <si>
    <t>[-180000 -160000 -140000 -120000 -100000 -80000 -60000 -40000 -20000 0 20000 40000 60000 80000 100000 120000 140000 160000 180000]</t>
  </si>
  <si>
    <t>[0 2000 4000 6000 8000 10000 12000 14000 16000 18000]</t>
  </si>
  <si>
    <t>Loss in motor mode decided by output power and motor speed</t>
  </si>
  <si>
    <t>pwrLossDrvGen_T</t>
  </si>
  <si>
    <t>Loss in generate mode decided by output power and motor speed</t>
  </si>
  <si>
    <t>tInvNtc_T</t>
  </si>
  <si>
    <t>[175 175 146 126 113 103 94.8 88 82 76.7 71.9 67.5 59.8 53 46.6 41 35.5 30.1 24.8 19.5 14 8 1.5 -16 -40 -40]</t>
  </si>
  <si>
    <t>C</t>
  </si>
  <si>
    <t>[0 40 45 50 55 60 65 70 75 80 85 90 100 110 120 130 140 150 160 170 180 190 200 220 234 255]</t>
  </si>
  <si>
    <t>ADC to igbt sensor temperature table</t>
  </si>
  <si>
    <t>tEmH_T</t>
  </si>
  <si>
    <t>[299.0 299.0 270.0 251.0 236.0 225.0 215.0 207.0 200.0 194.0 188.0 183.0 179.0 174.0 170.0 166.0 163.0 159.0 156.0 153.0 150.0 147.0 144.0 141.0 139.0 136.0 134.0 131.0 129.0 126.0 124.0 122.0 120.0 117.0 115.0 113.0 111.0 108.0 106.0 104.0 102.0 99.0 97.0 95.0 92.0 90.0 87.0 85.0 82.0 79.0 77.0 74.0 71.0 67.0 64.0 60.0 56.0 52.0 46.0 40.0 33.0 23.0 8.0 -59.0]</t>
  </si>
  <si>
    <t>[1024.0 2048.0 3072.0 4096.0 5120.0 6144.0 7168.0 8192.0 9216.0 10240.0 11264.0 12288.0 13312.0 14336.0 15360.0 16384.0 17408.0 18432.0 19456.0 20480.0 21504.0 22528.0 23552.0 24576.0 25600.0 26624.0 27648.0 28672.0 29696.0 30720.0 31744.0 32768.0 33792.0 34816.0 35840.0 36864.0 37888.0 38912.0 39936.0 40960.0 41984.0 43008.0 44032.0 45056.0 46080.0 47104.0 48128.0 49152.0 50176.0 51200.0 52224.0 53248.0 54272.0 55296.0 56320.0 57344.0 58368.0 59392.0 60416.0 61440.0 62464.0 63488.0 64512.0 65534.0]</t>
  </si>
  <si>
    <t>ADC to emachine sensor temperature table High range</t>
  </si>
  <si>
    <t>tEmL_T</t>
  </si>
  <si>
    <t>[121.0 97.0 83.0 74.0 67.0 62.0 57.0 53.0 50.0 46.0 44.0 41.0 38.0 36.0 34.0 32.0 30.0 28.0 27.0 25.0 23.0 22.0 20.0 19.0 17.0 16.0 15.0 13.0 12.0 11.0 9.0 8.0 7.0 6.0 4.0 3.0 2.0 1.0 0.0 -1.0 -2.0 -3.0 -5.0 -6.0 -8.0 -9.0 -10.0 -12.0 -13.0 -15.0 -17.0 -18.0 -20.0 -22.0 -24.0 -27.0 -29.0 -32.0 -35.0 -39.0 -43.0 -49.0 -59.0 -100.0]</t>
  </si>
  <si>
    <t>ADC to igbt sensor temperature table low range</t>
  </si>
  <si>
    <t>trqFrcN_T</t>
  </si>
  <si>
    <t>[0 0.2 0.4 0.6 0.8 1 1.2 1.4 1.6 1.8 2 2.25 2.5 2.75 3 3.25 3.5 3.75 4 4.25 4.5 4.75 5 5.25 5.5 5.75 6 6.25 6.5 6.75 7 9.5]</t>
  </si>
  <si>
    <t>[0 500 1000 1500 2000 2500 3000 3500 4000 4500 5000 5500 6000 6500 7000 7500 8000 8500 9000 9500 10000 10500 11000 11500 12000 12500 13000 13500 14000 14500 15000 18000]</t>
  </si>
  <si>
    <t>friction torque on speed</t>
  </si>
  <si>
    <t>facIphaMaxFreq_T</t>
  </si>
  <si>
    <t>[0.7 0.8 0.9 1 1 1 1 1 1]</t>
  </si>
  <si>
    <t>[0 1 5 10 50 100 400 800 1600]</t>
  </si>
  <si>
    <t>Ipha max limited by freq</t>
  </si>
  <si>
    <t>facFluxTemp_T</t>
  </si>
  <si>
    <t>[1.086 1.073 1.059 1.046 1.032 1.019 1 0.992 0.976 0.96 0.944 0.931 0.917 0.903 0.89 0.876 0.862 0.849 0.834 0.823 0.812 0.791 0.769
]</t>
  </si>
  <si>
    <t>[-40 -30 -20 -10 0 10 20 30 40 50 60 70 80 90 100 110 120 130 140 150 160 170 180]</t>
  </si>
  <si>
    <t>flux decrease with rotor temperature</t>
  </si>
  <si>
    <t>OmBW_T</t>
  </si>
  <si>
    <t>[370,350,320,320,260,140,140,140,140,140]</t>
  </si>
  <si>
    <t>[0,200,400,600,800,1000,1200,1400,1600,1800]</t>
  </si>
  <si>
    <t>omBW</t>
  </si>
  <si>
    <t>RvScal_T</t>
  </si>
  <si>
    <t>[32,34,42,42,42,60,60,60,60,60]</t>
  </si>
  <si>
    <t>RvScal</t>
  </si>
  <si>
    <t>ExFeedBack_T</t>
  </si>
  <si>
    <t>[-180 -205 -250 -280 -330 -330 -330 -330 -330 -330 -330 -330 -330 -330 -330 -330 -330 -330 -330 -330 -330
-135 -156 -196 -250 -288 -330 -330 -330 -330 -330 -330 -330 -330 -330 -330 -330 -330 -330 -330 -330 -330
-95 -115 -160 -200 -255 -295 -330 -330 -330 -330 -330 -330 -330 -330 -330 -330 -330 -330 -330 -330 -330
-57 -75 -122 -165 -210 -260 -302 -330 -330 -330 -330 -330 -330 -330 -330 -330 -330 -330 -330 -330 -330
-15 -40 -86 -122 -172 -212 -265 -310 -330 -330 -330 -330 -330 -330 -330 -330 -330 -330 -330 -330 -330
0 -8 -50 -90 -140 -180 -220 -268 -312 -330 -330 -330 -330 -330 -330 -330 -330 -330 -330 -330 -330
0 -5 -28 -45 -70 -85 -105 -125 -160 -195 -235 -275 -310 -330 -330 -330 -330 -330 -330 -330 -330
0 -5 -28 -45 -69 -85 -105 -125 -149 -173 -196 -209 -231 -252 -273 -303 -330 -330 -330 -330 -330]</t>
  </si>
  <si>
    <t>[0.015 0.02 0.025 0.03 0.035 0.04 0.06 0.09]</t>
  </si>
  <si>
    <t>[0 20 40 60 80 100 120 140 160 180 200 220 240 260 280 300 320 340 360 380 400]</t>
  </si>
  <si>
    <t>flux weakening control -exfeedback current</t>
  </si>
  <si>
    <t>cLdAdpt_T</t>
  </si>
  <si>
    <t>[0.211384407 0.211384407 0.463590162 0.544053646 0.585226019 0.632129795 0.667302526 0.732576676 0.738673231 0.755488288 0.774469269 0.789231273 0.811995709 0.838464473 0.876208524 0.890183009 0.903874513
0.209751163 0.209751163 0.432681631 0.522667248 0.585226019 0.632129795 0.667302526 0.732576676 0.738673231 0.755488288 0.774469269 0.789231273 0.811995709 0.838464473 0.876208524 0.890183009 0.903874513
0.199828561 0.199828561 0.378351817 0.502061561 0.575627074 0.623982213 0.662464648 0.727091564 0.738673231 0.755488288 0.774469269 0.789231273 0.811995709 0.838464473 0.876208524 0.890183009 0.903874513
0.184824112 0.184824112 0.347443285 0.481455873 0.560172809 0.616771483 0.662311027 0.728298248 0.739729079 0.759029185 0.774469269 0.789231273 0.811995709 0.838464473 0.876208524 0.890183009 0.903874513
0.164824112 0.164824112 0.304824112 0.467095861 0.547646203 0.611902881 0.658253858 0.726159034 0.740784927 0.759967716 0.779998204 0.796386785 0.811995709 0.838464473 0.876208524 0.890183009 0.903874513
0.154807322 0.154807322 0.285626222 0.448051592 0.546830239 0.605629002 0.657319528 0.72401982 0.741840775 0.763508613 0.785527139 0.803542297 0.820311525 0.838464473 0.876208524 0.890183009 0.903874513
0.133266487 0.133266487 0.24300705 0.427445905 0.531961506 0.599355123 0.658727325 0.724891914 0.745824284 0.769651874 0.791056074 0.810697809 0.827065922 0.846320775 0.876208524 0.890183009 0.903874513
0.113266487 0.113266487 0.212098518 0.413085892 0.527632349 0.5977655 0.656231576 0.729779085 0.751271623 0.774493953 0.798927138 0.817853321 0.835576915 0.854177076 0.88517661 0.890183009 0.903874513
0.103266487 0.103266487 0.204611269 0.411217231 0.518033404 0.601796986 0.665446468 0.727639871 0.754084067 0.782719106 0.804456073 0.825221754 0.845844504 0.862033377 0.892471747 0.898553222 0.903874513
0.093266487 0.093266487 0.173702738 0.389050125 0.520145101 0.608170599 0.666073556 0.732192452 0.76070247 0.790684022 0.813029775 0.836422761 0.854550675 0.871691316 0.901439833 0.906923436 0.913185418
0.093266487 0.093266487 0.166215489 0.386400754 0.525184457 0.609859956 0.676069157 0.736745033 0.767906405 0.799429648 0.824882456 0.846346243 0.865013441 0.881349254 0.910407918 0.916698926 0.921471642
0.073266487 0.073266487 0.141162279 0.386874221 0.524368493 0.61623357 0.681770856 0.74798941 0.780380128 0.806093383 0.832753519 0.8549922 0.873914789 0.891727847 0.917703055 0.925225281 0.930343398
0.083266487 0.083266487 0.151240992 0.387347687 0.53233551 0.62729144 0.694498941 0.756557068 0.790218958 0.8169209 0.845308839 0.866831969 0.885938974 0.901926277 0.927173026 0.933595494 0.939654304
0.073266487 0.073266487 0.143753743 0.400312505 0.540302527 0.633665054 0.703713833 0.766463085 0.800057787 0.833473621 0.855522031 0.878884658 0.898353515 0.910323069 0.936642996 0.943527126 0.947501379
0.083266487 0.083266487 0.147977136 0.418742289 0.554124865 0.649407181 0.720735819 0.778711231 0.812824276 0.844821611 0.870419479 0.891363189 0.909792168 0.921782645 0.945778376 0.95189734 0.956812284
0.093266487 0.093266487 0.175621812 0.437172073 0.573802524 0.67030199 0.741661352 0.796312812 0.828518426 0.858771967 0.883209012 0.904906324 0.921425999 0.93324222 0.955248347 0.960267553 0.966123189
0.103266487 0.103266487 0.203266487 0.464970369 0.605190824 0.698691609 0.764538659 0.814248983 0.846554705 0.876365633 0.897872247 0.918449459 0.935597135 0.941098522 0.963881843 0.970199185 0.973970264
0.154332446 0.154332446 0.254332446 0.509944274 0.645362104 0.731765485 0.793271286 0.835531052 0.865762047 0.892137644 0.913706547 0.93390888 0.949768272 0.952558097 0.971678864 0.978413257 0.981817339
0.240530328 0.240530328 0.340530328 0.575216623 0.691388706 0.767649915 0.823955687 0.861497378 0.887311517 0.911032492 0.930009272 0.948090777 0.960426216 0.962216036 0.982152604 0.986939612 0.990835478
0.385281418 0.385281418 0.485281418 0.665471674 0.756737866 0.817118689 0.857762926 0.888132883 0.910032052 0.930187577 0.947248849 0.961208071 0.974792529 0.973675611 0.991120689 0.995309825 1
0.604269096 0.604269096 0.700296355 0.74791963 0.812718513 0.846913586 0.873613848 0.91175708 0.921627478 0.941535568 0.955119912 0.966234375 0.977448202 0.98333355 0.990051082 0.995872944 0.999503243
0.385281418 0.385281418 0.485281418 0.665471674 0.756737866 0.817118689 0.857762926 0.888132883 0.910032052 0.930187577 0.947248849 0.961208071 0.974792529 0.973675611 0.991120689 0.995309825 1
0.240530328 0.240530328 0.340530328 0.575216623 0.691388706 0.767649915 0.823955687 0.861497378 0.887311517 0.911032492 0.930009272 0.948090777 0.960426216 0.962216036 0.982152604 0.986939612 0.990835478
0.154332446 0.154332446 0.254332446 0.509944274 0.645362104 0.731765485 0.793271286 0.835531052 0.865762047 0.892137644 0.913706547 0.93390888 0.949768272 0.952558097 0.971678864 0.978413257 0.981817339
0.103266487 0.103266487 0.203266487 0.464970369 0.605190824 0.698691609 0.764538659 0.814248983 0.846554705 0.876365633 0.897872247 0.918449459 0.935597135 0.941098522 0.963881843 0.970199185 0.973970264
0.093266487 0.093266487 0.175621812 0.437172073 0.573802524 0.67030199 0.741661352 0.796312812 0.828518426 0.858771967 0.883209012 0.904906324 0.921425999 0.93324222 0.955248347 0.960267553 0.966123189
0.083266487 0.083266487 0.147977136 0.418742289 0.554124865 0.649407181 0.720735819 0.778711231 0.812824276 0.844821611 0.870419479 0.891363189 0.909792168 0.921782645 0.945778376 0.95189734 0.956812284
0.073266487 0.073266487 0.143753743 0.400312505 0.540302527 0.633665054 0.703713833 0.766463085 0.800057787 0.833473621 0.855522031 0.878884658 0.898353515 0.910323069 0.936642996 0.943527126 0.947501379
0.083266487 0.083266487 0.151240992 0.387347687 0.53233551 0.62729144 0.694498941 0.756557068 0.790218958 0.8169209 0.845308839 0.866831969 0.885938974 0.901926277 0.927173026 0.933595494 0.939654304
0.073266487 0.073266487 0.141162279 0.386874221 0.524368493 0.61623357 0.681770856 0.74798941 0.780380128 0.806093383 0.832753519 0.8549922 0.873914789 0.891727847 0.917703055 0.925225281 0.930343398
0.093266487 0.093266487 0.166215489 0.386400754 0.525184457 0.609859956 0.676069157 0.736745033 0.767906405 0.799429648 0.824882456 0.846346243 0.865013441 0.881349254 0.910407918 0.916698926 0.921471642
0.093266487 0.093266487 0.173702738 0.389050125 0.520145101 0.608170599 0.666073556 0.732192452 0.76070247 0.790684022 0.813029775 0.836422761 0.854550675 0.871691316 0.901439833 0.906923436 0.913185418
0.103266487 0.103266487 0.204611269 0.411217231 0.518033404 0.601796986 0.665446468 0.727639871 0.754084067 0.782719106 0.804456073 0.825221754 0.845844504 0.862033377 0.892471747 0.898553222 0.903874513
0.113266487 0.113266487 0.212098518 0.413085892 0.527632349 0.5977655 0.656231576 0.729779085 0.751271623 0.774493953 0.798927138 0.817853321 0.835576915 0.854177076 0.88517661 0.890183009 0.903874513
0.133266487 0.133266487 0.24300705 0.427445905 0.531961506 0.599355123 0.658727325 0.724891914 0.745824284 0.769651874 0.791056074 0.810697809 0.827065922 0.846320775 0.876208524 0.890183009 0.903874513
0.154807322 0.154807322 0.285626222 0.448051592 0.546830239 0.605629002 0.657319528 0.72401982 0.741840775 0.763508613 0.785527139 0.803542297 0.820311525 0.838464473 0.876208524 0.890183009 0.903874513
0.164824112 0.164824112 0.304824112 0.467095861 0.547646203 0.611902881 0.658253858 0.726159034 0.740784927 0.759967716 0.779998204 0.796386785 0.811995709 0.838464473 0.876208524 0.890183009 0.903874513
0.184824112 0.184824112 0.347443285 0.481455873 0.560172809 0.616771483 0.662311027 0.728298248 0.739729079 0.759029185 0.774469269 0.789231273 0.811995709 0.838464473 0.876208524 0.890183009 0.903874513
0.199828561 0.199828561 0.378351817 0.502061561 0.575627074 0.623982213 0.662464648 0.727091564 0.738673231 0.755488288 0.774469269 0.789231273 0.811995709 0.838464473 0.876208524 0.890183009 0.903874513
0.209751163 0.209751163 0.432681631 0.522667248 0.585226019 0.632129795 0.667302526 0.732576676 0.738673231 0.755488288 0.774469269 0.789231273 0.811995709 0.838464473 0.876208524 0.890183009 0.903874513
0.211384407 0.211384407 0.463590162 0.544053646 0.585226019 0.632129795 0.667302526 0.732576676 0.738673231 0.755488288 0.774469269 0.789231273 0.811995709 0.838464473 0.876208524 0.890183009 0.903874513
]</t>
  </si>
  <si>
    <t>[-30
-28.5
-27
-25.5
-24
-22.5
-21
-19.5
-18
-16.5
-15
-13.5
-12
-10.5
-9
-7.5
-6
-4.5
-3
-1.5
0
1.5
3
4.5
6
7.5
9
10.5
12
13.5
15
16.5
18
19.5
21
22.5
24
25.5
27
28.5
30
]</t>
  </si>
  <si>
    <t>[0 1.5 3 4.5 6 7.5 9 10.5 12 13.5 15 16.5 18 19.5 21 22.5 24]</t>
  </si>
  <si>
    <t>Ld with id and iq</t>
  </si>
  <si>
    <t>cLqNewAdpt_T</t>
  </si>
  <si>
    <t>[0.259808104 0.264612162 0.269681833 0.274372056 0.282166616 0.28766288 0.291841061 0.294980753 0.302245226 0.307119298 0.315034075 0.319168115 0.327429428 0.33122701 0.336380207 0.345595295 0.355903541
0.262578075 0.267914571 0.27289159 0.277229539 0.282166616 0.28766288 0.291841061 0.294980753 0.302245226 0.307119298 0.315034075 0.319168115 0.327429428 0.33122701 0.336380207 0.345595295 0.355903541
0.265318533 0.27040341 0.275614769 0.280826128 0.286079649 0.290742916 0.295827793 0.298340855 0.302245226 0.307119298 0.315034075 0.319168115 0.327429428 0.33122701 0.336380207 0.345595295 0.355903541
0.266952888 0.273810026 0.27807799 0.283908386 0.28915845 0.294363873 0.299613938 0.302408749 0.306632072 0.311167881 0.315034075 0.319168115 0.327429428 0.33122701 0.336380207 0.345595295 0.355903541
0.26940814 0.27527092 0.281086268 0.286711892 0.291436327 0.297773416 0.302687575 0.305751925 0.310239205 0.314821347 0.31902404 0.323463889 0.327429428 0.33122701 0.336380207 0.345595295 0.355903541
0.271634236 0.277432529 0.283939126 0.289939792 0.295687492 0.300423331 0.306171031 0.309186705 0.314124916 0.319012534 0.323090663 0.327421757 0.331550479 0.33122701 0.336380207 0.345595295 0.355903541
0.272823173 0.280987078 0.286332225 0.292219441 0.29875714 0.303451805 0.309826882 0.313003755 0.317210558 0.323206188 0.327738232 0.331945035 0.335718183 0.335371609 0.336380207 0.345595295 0.355903541
0.275245803 0.282461532 0.287634078 0.294149286 0.302299041 0.307471587 0.313286276 0.316707524 0.321588187 0.32646885 0.332050032 0.335763163 0.341110839 0.340153839 0.340948138 0.345595295 0.355903541
0.275352827 0.285446555 0.292378215 0.298361254 0.303332433 0.310959748 0.317954649 0.319700519 0.326063006 0.331540116 0.336384811 0.341039783 0.346074202 0.343835867 0.345771461 0.350616156 0.355903541
0.277342055 0.283800017 0.292189715 0.299958497 0.308417186 0.315289091 0.322160996 0.324203562 0.329902628 0.336153619 0.34136975 0.34630992 0.351388071 0.349567166 0.350505883 0.356273939 0.36135209
0.277528329 0.28607399 0.295606216 0.30354476 0.312469869 0.319801296 0.326829165 0.328317091 0.336179746 0.341462153 0.347275788 0.352102858 0.357612934 0.355685828 0.35603541 0.362304382 0.368649244
0.279358112 0.288263039 0.296915 0.307843649 0.316411288 0.324472996 0.331354199 0.333597704 0.340816194 0.347613075 0.353060808 0.358592862 0.364546525 0.362489618 0.362456434 0.370518142 0.376724771
0.282119651 0.293465762 0.299499599 0.310750847 0.320863751 0.330122897 0.338812871 0.340483055 0.348888442 0.354922279 0.361050978 0.367369402 0.373972411 0.370614908 0.370103266 0.378982963 0.385301386
0.280899997 0.287362156 0.304774102 0.316982189 0.32756407 0.337170227 0.346125902 0.347492615 0.356556704 0.364319828 0.371432469 0.378219869 0.385115683 0.381170123 0.381452699 0.389649477 0.398713566
0.276238206 0.296172695 0.306241535 0.323519888 0.335738933 0.347957978 0.355623646 0.359241868 0.367919397 0.375205617 0.385400939 0.392054746 0.399720414 0.394611329 0.39392914 0.405262806 0.415837576
0.276541764 0.294391982 0.315429564 0.333279782 0.34733552 0.36078414 0.37225963 0.372048119 0.382764713 0.392722411 0.40237655 0.409754001 0.420167037 0.414036136 0.412913949 0.425907232 0.438293397
0.27737655 0.299689323 0.323709612 0.348109349 0.363212607 0.378885038 0.391521885 0.391636944 0.404463515 0.418238705 0.427839967 0.439528193 0.450647247 0.443363069 0.44120144 0.458012215 0.47387437
0.271431864 0.311806773 0.349904994 0.374343085 0.394986694 0.415124372 0.430708674 0.427067606 0.446699354 0.458489174 0.472302718 0.487381089 0.501700563 0.491988326 0.488600223 0.512026451 0.531658199
0.278135446 0.350081254 0.398880727 0.439332344 0.458155419 0.482290767 0.501872739 0.496031688 0.51940814 0.539749008 0.56312546 0.583845776 0.60874002 0.591515528 0.583397789 0.617398787 0.651779234
0.264854763 0.511197361 0.570092604 0.606220962 0.657527243 0.693655602 0.730542856 0.702923936 0.746641255 0.791117471 0.835593687 0.873239838 0.921510534 0.892373822 0.87310276 0.937310276 1
0.264854763 0.511197361 0.570092604 0.606220962 0.657527243 0.693655602 0.730542856 0.702923936 0.746641255 0.791117471 0.835593687 0.873239838 0.921510534 0.892373822 0.87310276 0.937310276 1
0.264854763 0.511197361 0.570092604 0.606220962 0.657527243 0.693655602 0.730542856 0.702923936 0.746641255 0.791117471 0.835593687 0.873239838 0.921510534 0.892373822 0.87310276 0.937310276 1
0.278135446 0.350081254 0.398880727 0.439332344 0.458155419 0.482290767 0.501872739 0.496031688 0.51940814 0.539749008 0.56312546 0.583845776 0.60874002 0.591515528 0.583397789 0.617398787 0.651779234
0.271431864 0.311806773 0.349904994 0.374343085 0.394986694 0.415124372 0.430708674 0.427067606 0.446699354 0.458489174 0.472302718 0.487381089 0.501700563 0.491988326 0.488600223 0.512026451 0.531658199
0.27737655 0.299689323 0.323709612 0.348109349 0.363212607 0.378885038 0.391521885 0.391636944 0.404463515 0.418238705 0.427839967 0.439528193 0.450647247 0.443363069 0.44120144 0.458012215 0.47387437
0.276541764 0.294391982 0.315429564 0.333279782 0.34733552 0.36078414 0.37225963 0.372048119 0.382764713 0.392722411 0.40237655 0.409754001 0.420167037 0.414036136 0.412913949 0.425907232 0.438293397
0.276238206 0.296172695 0.306241535 0.323519888 0.335738933 0.347957978 0.355623646 0.359241868 0.367919397 0.375205617 0.385400939 0.392054746 0.399720414 0.394611329 0.39392914 0.405262806 0.415837576
0.280899997 0.287362156 0.304774102 0.316982189 0.32756407 0.337170227 0.346125902 0.347492615 0.356556704 0.364319828 0.371432469 0.378219869 0.385115683 0.381170123 0.381452699 0.389649477 0.398713566
0.282119651 0.293465762 0.299499599 0.310750847 0.320863751 0.330122897 0.338812871 0.340483055 0.348888442 0.354922279 0.361050978 0.367369402 0.373972411 0.370614908 0.370103266 0.378982963 0.385301386
0.279358112 0.288263039 0.296915 0.307843649 0.316411288 0.324472996 0.331354199 0.333597704 0.340816194 0.347613075 0.353060808 0.358592862 0.364546525 0.362489618 0.362456434 0.370518142 0.376724771
0.277528329 0.28607399 0.295606216 0.30354476 0.312469869 0.319801296 0.326829165 0.328317091 0.336179746 0.341462153 0.347275788 0.352102858 0.357612934 0.355685828 0.35603541 0.362304382 0.368649244
0.277342055 0.283800017 0.292189715 0.299958497 0.308417186 0.315289091 0.322160996 0.324203562 0.329902628 0.336153619 0.34136975 0.34630992 0.351388071 0.349567166 0.350505883 0.356273939 0.36135209
0.275352827 0.285446555 0.292378215 0.298361254 0.303332433 0.310959748 0.317954649 0.319700519 0.326063006 0.331540116 0.336384811 0.341039783 0.346074202 0.343835867 0.345771461 0.350616156 0.355903541
0.275245803 0.282461532 0.287634078 0.294149286 0.302299041 0.307471587 0.313286276 0.316707524 0.321588187 0.32646885 0.332050032 0.335763163 0.341110839 0.340153839 0.340948138 0.345595295 0.355903541
0.272823173 0.280987078 0.286332225 0.292219441 0.29875714 0.303451805 0.309826882 0.313003755 0.317210558 0.323206188 0.327738232 0.331945035 0.335718183 0.335371609 0.336380207 0.345595295 0.355903541
0.271634236 0.277432529 0.283939126 0.289939792 0.295687492 0.300423331 0.306171031 0.309186705 0.314124916 0.319012534 0.323090663 0.327421757 0.331550479 0.33122701 0.336380207 0.345595295 0.355903541
0.26940814 0.27527092 0.281086268 0.286711892 0.291436327 0.297773416 0.302687575 0.305751925 0.310239205 0.314821347 0.31902404 0.323463889 0.327429428 0.33122701 0.336380207 0.345595295 0.355903541
0.266952888 0.273810026 0.27807799 0.283908386 0.28915845 0.294363873 0.299613938 0.302408749 0.306632072 0.311167881 0.315034075 0.319168115 0.327429428 0.33122701 0.336380207 0.345595295 0.355903541
0.265318533 0.27040341 0.275614769 0.280826128 0.286079649 0.290742916 0.295827793 0.298340855 0.302245226 0.307119298 0.315034075 0.319168115 0.327429428 0.33122701 0.336380207 0.345595295 0.355903541
0.262578075 0.267914571 0.27289159 0.277229539 0.282166616 0.28766288 0.291841061 0.294980753 0.302245226 0.307119298 0.315034075 0.319168115 0.327429428 0.33122701 0.336380207 0.345595295 0.355903541
0.259808104 0.264612162 0.269681833 0.274372056 0.282166616 0.28766288 0.291841061 0.294980753 0.302245226 0.307119298 0.315034075 0.319168115 0.327429428 0.33122701 0.336380207 0.345595295 0.355903541
]</t>
  </si>
  <si>
    <t>Lqwith id and iq</t>
  </si>
  <si>
    <t>cPsiIsqAdptMot_T</t>
  </si>
  <si>
    <t>[1
1
1
1
1
1
1
1
1
1
1
1
1
1
1
1
1
1
1
1
1
1
1
1
1
1
1
1
1
1
1
1
1
1
1
1
1
1
1
1
1
]</t>
  </si>
  <si>
    <t>flux with Iq</t>
  </si>
  <si>
    <t>cLdAdptMon_T</t>
  </si>
  <si>
    <t>[0.136363636 0.136363636 0.227272727 0.265151515 0.303030303 0.303030303 0.303030303 0.303030303 0.303030303 0.303030303 0.303030303 0.303030303
0.151515152 0.151515152 0.265151515 0.340909091 0.378787879 0.378787879 0.378787879 0.378787879 0.378787879 0.378787879 0.378787879 0.378787879
0.173280514 0.173280514 0.303030303 0.432780092 0.507575758 0.507575758 0.507575758 0.507575758 0.507575758 0.507575758 0.507575758 0.507575758
0.227791581 0.227791581 0.401515152 0.518027591 0.557321391 0.568181818 0.606060606 0.606060606 0.606060606 0.606060606 0.606060606 0.606060606
0.340909091 0.34540178 0.497391487 0.568719114 0.601368629 0.606060606 0.606060606 0.606060606 0.606060606 0.606060606 0.606060606 0.606060606
0.501270499 0.478030303 0.583333333 0.658420767 0.674673465 0.657778688 0.659090909 0.659090909 0.659090909 0.659090909 0.659090909 0.659090909
0.553787879 0.553787879 0.681818182 0.723317287 0.736910197 0.745065942 0.75 0.75 0.75 0.75 0.75 0.75
0.620975157 0.620975157 0.721939278 0.755593985 0.772421339 0.782517751 0.751006527 0.751006527 0.751006527 0.751006527 0.751006527 0.751006527
0.708809775 0.708809775 0.797506718 0.827072365 0.837333742 0.843490568 0.804115672 0.804115672 0.804115672 0.804115672 0.804115672 0.804115672
0.757575758 0.757575758 0.805818564 0.847685087 0.861836178 0.866709674 0.860496976 0.863636364 0.863636364 0.863636364 0.863636364 0.863636364
0.871212121 0.871212121 0.863636364 0.860088762 0.875660381 0.881386195 0.915384468 0.909090909 0.833333333 0.833333333 0.833333333 0.833333333
0.984848485 0.994718394 0.9856755 0.976632605 0.96080754 0.95312108 0.947503192 0.939393939 0.931818182 0.931818182 0.931818182 0.931818182
0.871212121 0.871212121 0.863636364 0.860088762 0.875660381 0.881386195 0.915384468 0.909090909 0.833333333 0.833333333 0.833333333 0.833333333
0.757575758 0.757575758 0.805818564 0.847685087 0.861836178 0.866709674 0.860496976 0.863636364 0.863636364 0.863636364 0.863636364 0.863636364
0.708809775 0.708809775 0.797506718 0.827072365 0.837333742 0.843490568 0.804115672 0.804115672 0.804115672 0.804115672 0.804115672 0.804115672
0.620975157 0.620975157 0.721939278 0.755593985 0.772421339 0.782517751 0.751006527 0.751006527 0.751006527 0.751006527 0.751006527 0.751006527
0.553787879 0.553787879 0.681818182 0.723317287 0.736910197 0.745065942 0.75 0.75 0.75 0.75 0.75 0.75
0.501270499 0.478030303 0.583333333 0.658420767 0.674673465 0.657778688 0.659090909 0.659090909 0.659090909 0.659090909 0.659090909 0.659090909
0.340909091 0.34540178 0.497391487 0.568719114 0.601368629 0.606060606 0.606060606 0.606060606 0.606060606 0.606060606 0.606060606 0.606060606
0.227791581 0.227791581 0.401515152 0.518027591 0.557321391 0.568181818 0.606060606 0.606060606 0.606060606 0.606060606 0.606060606 0.606060606
0.173280514 0.173280514 0.303030303 0.432780092 0.507575758 0.507575758 0.507575758 0.507575758 0.507575758 0.507575758 0.507575758 0.507575758
0.151515152 0.151515152 0.265151515 0.340909091 0.378787879 0.378787879 0.378787879 0.378787879 0.378787879 0.378787879 0.378787879 0.378787879
0.136363636 0.136363636 0.227272727 0.265151515 0.303030303 0.303030303 0.303030303 0.303030303 0.303030303 0.303030303 0.303030303 0.303030303
]</t>
  </si>
  <si>
    <t>[-22 -20 -18 -16 -14 -12 -10 -8 -6 -4 -2 0 2 4 6 8 10 12 14 16 18 20 22]</t>
  </si>
  <si>
    <t>[0 2 4 6 8 10 12 14 16 18 20 22]</t>
  </si>
  <si>
    <t>cLqAdptMon_T</t>
  </si>
  <si>
    <t>[0.509786072 0.512676377 0.515339099 0.516408739 0.517250797 0.534580648 0.533310974 0.53419735 0.547362565 0.545769484 0.557176899 0.549064232
0.525597106 0.528399971 0.531681959 0.533287018 0.53321515 0.534580648 0.533310974 0.53419735 0.547362565 0.545769484 0.557176899 0.549064232
0.542406312 0.546376372 0.548576341 0.550270571 0.55145906 0.551130329 0.550295858 0.550219997 0.547362565 0.545769484 0.557176899 0.549064232
0.559051112 0.562986961 0.566119575 0.567377975 0.567029907 0.569894776 0.567672495 0.567859916 0.563495676 0.562344373 0.557176899 0.549064232
0.576638598 0.579967 0.583295403 0.58548589 0.586538462 0.58588416 0.584660901 0.584860036 0.580791989 0.579284251 0.572371416 0.559200046
0.595053861 0.599211045 0.602154453 0.603277196 0.604399939 0.604915794 0.602700652 0.602609619 0.597663481 0.595751783 0.588378091 0.575542406
0.612523571 0.617627934 0.621431823 0.623610118 0.625138175 0.622764809 0.621366799 0.619318551 0.614994473 0.613921581 0.604070486 0.601697119
0.632680929 0.637127552 0.640523791 0.643219775 0.643464865 0.644760338 0.640803893 0.639998599 0.634291516 0.631035328 0.620776583 0.617870523
0.651646184 0.657601274 0.661659839 0.663063268 0.663328782 0.663594295 0.658549537 0.657677135 0.650735852 0.64834623 0.636094675 0.632567137
0.673645881 0.678900981 0.683328506 0.685273307 0.68514917 0.68254231 0.678694087 0.675673439 0.667687342 0.664666694 0.652128936 0.644970414
0.695038689 0.701274465 0.704779244 0.705097861 0.706326809 0.703459263 0.697405553 0.69180701 0.681656805 0.675603095 0.663632226 0.656213018
0.716633794 0.722550953 0.725939412 0.726799171 0.723613008 0.719415364 0.7111718 0.701916755 0.693673191 0.684418146 0.67111718 0.663379356
0.740782886 0.744594902 0.746700046 0.745391443 0.739531179 0.733101957 0.722690032 0.710571234 0.699021393 0.689178425 0.674214838 0.663233955
0.764028871 0.765784511 0.766239677 0.760842708 0.754145263 0.74224592 0.730996814 0.717146759 0.704597178 0.690747123 0.674296118 0.660446063
0.784402974 0.785692611 0.780913367 0.774616902 0.764527386 0.752920649 0.740555303 0.721362464 0.707479897 0.690562889 0.67061144 0.655211652
0.804733728 0.801729631 0.795994538 0.789349112 0.778152025 0.761492945 0.745744197 0.724533455 0.706964042 0.683022303 0.659990897 0.644242148
0.819299044 0.816681839 0.808375057 0.805757852 0.787209832 0.767523896 0.748975876 0.719048703 0.697086937 0.670573509 0.641784251 0.61868457
0.834471249 0.835533303 0.827492035 0.822485207 0.797754514 0.7715066 0.745258686 0.703838568 0.677590654 0.636170536 0.60385374 0.573054165
0.851160674 0.873236231 0.868001821 0.851388257 0.809740555 0.763541193 0.724169322 0.666590806 0.627218935 0.567364588 0.512061903 0.470414201
0.883022303 1 0.971324533 0.928994083 0.832043696 0.730541648 0.642694584 0.52298589 0.467000455 0.333636777 0.323167956 0.153390988
0.883022303 1 0.971324533 0.928994083 0.832043696 0.730541648 0.642694584 0.52298589 0.467000455 0.333636777 0.323167956 0.153390988
0.883022303 1 0.971324533 0.928994083 0.832043696 0.730541648 0.642694584 0.52298589 0.467000455 0.333636777 0.323167956 0.153390988
0.851160674 0.873236231 0.868001821 0.851388257 0.809740555 0.763541193 0.724169322 0.666590806 0.627218935 0.567364588 0.512061903 0.470414201
0.834471249 0.835533303 0.827492035 0.822485207 0.797754514 0.7715066 0.745258686 0.703838568 0.677590654 0.636170536 0.60385374 0.573054165
0.819299044 0.816681839 0.808375057 0.805757852 0.787209832 0.767523896 0.748975876 0.719048703 0.697086937 0.670573509 0.641784251 0.61868457
0.804733728 0.801729631 0.795994538 0.789349112 0.778152025 0.761492945 0.745744197 0.724533455 0.706964042 0.683022303 0.659990897 0.644242148
0.784402974 0.785692611 0.780913367 0.774616902 0.764527386 0.752920649 0.740555303 0.721362464 0.707479897 0.690562889 0.67061144 0.655211652
0.764028871 0.765784511 0.766239677 0.760842708 0.754145263 0.74224592 0.730996814 0.717146759 0.704597178 0.690747123 0.674296118 0.660446063
0.740782886 0.744594902 0.746700046 0.745391443 0.739531179 0.733101957 0.722690032 0.710571234 0.699021393 0.689178425 0.674214838 0.663233955
0.716633794 0.722550953 0.725939412 0.726799171 0.723613008 0.719415364 0.7111718 0.701916755 0.693673191 0.684418146 0.67111718 0.663379356
0.695038689 0.701274465 0.704779244 0.705097861 0.706326809 0.703459263 0.697405553 0.69180701 0.681656805 0.675603095 0.663632226 0.656213018
0.673645881 0.678900981 0.683328506 0.685273307 0.68514917 0.68254231 0.678694087 0.675673439 0.667687342 0.664666694 0.652128936 0.644970414
0.651646184 0.657601274 0.661659839 0.663063268 0.663328782 0.663594295 0.658549537 0.657677135 0.650735852 0.64834623 0.636094675 0.632567137
0.632680929 0.637127552 0.640523791 0.643219775 0.643464865 0.644760338 0.640803893 0.639998599 0.634291516 0.631035328 0.620776583 0.617870523
0.612523571 0.617627934 0.621431823 0.623610118 0.625138175 0.622764809 0.621366799 0.619318551 0.614994473 0.613921581 0.604070486 0.601697119
0.595053861 0.599211045 0.602154453 0.603277196 0.604399939 0.604915794 0.602700652 0.602609619 0.597663481 0.595751783 0.588378091 0.575542406
0.576638598 0.579967 0.583295403 0.58548589 0.586538462 0.58588416 0.584660901 0.584860036 0.580791989 0.579284251 0.572371416 0.559200046
0.559051112 0.562986961 0.566119575 0.567377975 0.567029907 0.569894776 0.567672495 0.567859916 0.563495676 0.562344373 0.557176899 0.549064232
0.542406312 0.546376372 0.548576341 0.550270571 0.55145906 0.551130329 0.550295858 0.550219997 0.547362565 0.545769484 0.557176899 0.549064232
0.525597106 0.528399971 0.531681959 0.533287018 0.53321515 0.534580648 0.533310974 0.53419735 0.547362565 0.545769484 0.557176899 0.549064232
0.509786072 0.512676377 0.515339099 0.516408739 0.517250797 0.534580648 0.533310974 0.53419735 0.547362565 0.545769484 0.557176899 0.549064232
]</t>
  </si>
  <si>
    <t>cPsiIsqAdptMonMot_T</t>
  </si>
  <si>
    <t>[0.539337451
0.561662526
0.577511197
0.596579253
0.609873577
0.622381343
0.635030776
0.642539443
0.660896307
0.67351749
0.690198389
0.696084397
0.709199958
0.710708019
0.703761798
0.69250161
0.656417823
0.656417823
0.656417823
0.656417823
0.656417823
0.656417823
0.656417823
0.656417823
0.656417823
0.69250161
0.703761798
0.710708019
0.709199958
0.696084397
0.690198389
0.67351749
0.660896307
0.642539443
0.635030776
0.622381343
0.609873577
0.596579253
0.577511197
0.561662526
0.539337451
]</t>
  </si>
  <si>
    <t>[-530.4101839 -495.049505 -459.688826 -424.3281471 -388.9674682 -353.6067893 -318.2461103 -282.8854314 -247.5247525 -212.1640736 -176.8033946 -141.4427157 -106.0820368 -70.72135785 -35.36067893 0 35.36067893 70.72135785 106.0820368 141.4427157 176.8033946 212.1640736 247.5247525 282.8854314 318.2461103 353.6067893 388.9674682 424.3281471 459.688826 495.049505 530.4101839 ]</t>
  </si>
  <si>
    <t>tiPerdLimit_T</t>
  </si>
  <si>
    <t>[500  500  500  500  500  500  500  500  500  500  500 
500  500  500  500  468  374  374  374  374  374  374 
283  283  283  284  261  209  209  209  209  209  209 
213  213  213  214  196  157  157  157  157  157  157 
184  184  184  184  169  135  135  135  135  135  135 
172  172  172  173  159  127  127  127  127  127  127 
172  172  172  173  159  127  127  127  127  127  127 
172  172  172  173  159  127  127  127  127  127  127 
156  156  156  157  144  125  125  125  125  125  125 
131  131  131  131  125  125  125  125  125  125  125 
125  125  125  125  125  125  125  125  125  124  125 
114  114  114  114  114  114  114  114  114  114  114 
100  100  100  100  100  100  100  100  100  100  100 
100  100  100  100  100  100  100  100  100  100  100 ]</t>
  </si>
  <si>
    <t>us</t>
  </si>
  <si>
    <t>[0 0.1 0.2 0.3 0.4 0.5 0.6 0.7 0.8 0.9 0.94 0.98 1 1.16]</t>
  </si>
  <si>
    <t>[0 50 100 150 200 250 300 350 400 450 500]</t>
  </si>
  <si>
    <t>variable frequency limit with is and m</t>
  </si>
  <si>
    <t>tiPerdCust_T</t>
  </si>
  <si>
    <t>[200  240  280  320  360  400  440  480  500  500  500 
200  240  280  320  360  400  440  480  500  500  500 
200  240  280  320  360  400  440  480  500  500  500 
200  240  280  320  360  400  440  480  500  500  500 
200  240  280  320  360  400  440  480  500  500  500 
200  240  280  320  360  400  440  480  500  500  500 
200  240  280  320  360  400  440  480  500  500  500 
200  240  280  320  360  400  440  480  500  500  500 
200  200  240  280  320  360  400  440  480  500  500 
150  150  150  190  230  270  310  350  390  430  500 
100  100  100  140  180  220  260  300  340  380  420 
100  100  100  100  140  180  220  260  300  340  380 
100  100  100  100  100  140  180  220  260  300  340 
100  100  100  100  100  100  140  180  220  260  300]</t>
  </si>
  <si>
    <t>[0 100 200 500 1000 1500 2000 3000 4000 6000 8000 12000 16000 18000]</t>
  </si>
  <si>
    <t>variable frequency defined by customer</t>
  </si>
  <si>
    <t>AngCompErrRdm_T</t>
  </si>
  <si>
    <t>[0,0,0,0,0,0,0,0,0,0,0,0,0,0,0,0,0,0,0]</t>
  </si>
  <si>
    <t>[-1800,-1600,-1400,-1200,-1000,-800,-600,-400,-200,0,200,400,600,800,1000,1200,1400,1600,1800]</t>
  </si>
  <si>
    <t>Rondom angle error compensation</t>
  </si>
  <si>
    <t>MTPA_T</t>
  </si>
  <si>
    <t>[0 0 0 0 0
0 0 0 0 0
0 0 0 0 0
0 0 0 0 0
0 0 0 0 0
0 0 0 0 0
0 0 0 0 0
0 0 0 0 0
0 0 0 0 0
0 0 0 0 0
0 0 0 0 0
0 0 0 0 0
0 0 0 0 0
0 0 0 0 0
0 0 0 0 0
0 0 0 0 0
0 0 0 0 0
0 0 0 0 0
0 0 0 0 0
0 0 0 0 0
0 0 0 0 0
]</t>
  </si>
  <si>
    <t>[0 1 2 3 4 5 6 7 8 9 10 11 12 13 14 15 16 17 18 19 20]</t>
  </si>
  <si>
    <t xml:space="preserve">[0 25 40 65 85] </t>
  </si>
  <si>
    <t>MTPA curve with torque and rotor temperature</t>
  </si>
  <si>
    <t>mLimitBySpd_T</t>
  </si>
  <si>
    <t>[0.1 0.15 0.3 0.6 1.03 1.03 1.03 1.03 1.03 1.03]</t>
  </si>
  <si>
    <t>[0 20 50 100 200 300 400 800 1200 1600]</t>
  </si>
  <si>
    <t>modulation limit by speed</t>
  </si>
  <si>
    <t>OverModulation_T</t>
  </si>
  <si>
    <t>[1 1 1.05 1.15  1.22    1.31   1.45  1.68   4 10 10.0001]</t>
  </si>
  <si>
    <t>[0 1 1.04 1.082 1.103 1.124 1.145 1.166 1.188 1.21 2]</t>
  </si>
  <si>
    <t>over modulation rate limit</t>
  </si>
  <si>
    <t>tiIgbtTurnOnDelayU_T</t>
  </si>
  <si>
    <t>[1 0.9 0.8 0.7 0.7 0.7 0.7 0.7 0.7 0.7]</t>
  </si>
  <si>
    <t>[0,10,20,50,100,200,400,600,800,1000]</t>
  </si>
  <si>
    <t>IGBT turn on and off delat delta value</t>
  </si>
  <si>
    <t>tiIgbtTurnOnDelayV_T</t>
  </si>
  <si>
    <t>tiIgbtTurnOnDelayW_T</t>
  </si>
  <si>
    <t>tiIgbtTurnOffDelayU_T</t>
  </si>
  <si>
    <t>[1.8 1.7 1.6 1.5 1.4 1.3 1.25 1.2 1.2 1.2]</t>
  </si>
  <si>
    <t>tiIgbtTurnOffDelayV_T</t>
  </si>
  <si>
    <t>tiIgbtTurnOffDelayW_T</t>
  </si>
  <si>
    <t>Complexity</t>
  </si>
  <si>
    <t>Dimensions</t>
  </si>
  <si>
    <t>Mode</t>
  </si>
  <si>
    <t>SampleTime</t>
  </si>
  <si>
    <t>InitialValue</t>
  </si>
  <si>
    <t>Module</t>
  </si>
  <si>
    <t>SAQ_flgFltAHiDrv</t>
  </si>
  <si>
    <t>Signal</t>
  </si>
  <si>
    <t>real</t>
  </si>
  <si>
    <t>auto</t>
  </si>
  <si>
    <t>ExportedGlobal</t>
  </si>
  <si>
    <t xml:space="preserve">IGBT drive 1ED high side fltA signal </t>
  </si>
  <si>
    <t>SAQ_flgFltBHiDrv</t>
  </si>
  <si>
    <t xml:space="preserve">IGBT drive 1ED high side fltB signal </t>
  </si>
  <si>
    <t>SAQ_flgFltALoDrv</t>
  </si>
  <si>
    <t xml:space="preserve">IGBT drive 1ED low side fltA signal </t>
  </si>
  <si>
    <t>SAQ_flgFltBLoDrv</t>
  </si>
  <si>
    <t xml:space="preserve">IGBT drive 1ED low side fltB signal </t>
  </si>
  <si>
    <t>SAQ_flgFltOC</t>
  </si>
  <si>
    <t>Hardware over current fault</t>
  </si>
  <si>
    <t>SAQ_flgFltOV</t>
  </si>
  <si>
    <t>Hardware over voltage fault</t>
  </si>
  <si>
    <t>SAQ_stLvMoCSOP</t>
  </si>
  <si>
    <t>Low voltage on MoCSOP</t>
  </si>
  <si>
    <t>SAQ_stHvMoCSOP</t>
  </si>
  <si>
    <t>SAQ_stIgbtDrvCnfgOk</t>
  </si>
  <si>
    <t>IGBT driver config state ok ot not</t>
  </si>
  <si>
    <t>SAQ_modLo1IgbtDrv</t>
  </si>
  <si>
    <t>EiceSilOPMClass</t>
  </si>
  <si>
    <t>EiceSilOPM.OPM0</t>
  </si>
  <si>
    <t>IGBT driver status</t>
  </si>
  <si>
    <t>SAQ_modLo2IgbtDrv</t>
  </si>
  <si>
    <t>SAQ_modLo3IgbtDrv</t>
  </si>
  <si>
    <t>SAQ_modHi1IgbtDrv</t>
  </si>
  <si>
    <t>SAQ_modHi2IgbtDrv</t>
  </si>
  <si>
    <t>SAQ_modHi3IgbtDrv</t>
  </si>
  <si>
    <t>SAQ_DUTY1</t>
  </si>
  <si>
    <t>%</t>
  </si>
  <si>
    <t>Phase u duty for monitoring</t>
  </si>
  <si>
    <t>SAQ_DUTY2</t>
  </si>
  <si>
    <t>Phase v duty for monitoring</t>
  </si>
  <si>
    <t>SAQ_DUTY3</t>
  </si>
  <si>
    <t>Phase w duty for monitoring</t>
  </si>
  <si>
    <t>SAQ_HVU</t>
  </si>
  <si>
    <t>Udc link raw value</t>
  </si>
  <si>
    <t>SAQ_TDBC1</t>
  </si>
  <si>
    <t>DBC temperatre AD value from IGBT driver</t>
  </si>
  <si>
    <t>SAQ_TDBC2</t>
  </si>
  <si>
    <t>SAQ_TDBC3</t>
  </si>
  <si>
    <t>COM_NSetP</t>
  </si>
  <si>
    <t>Speed request from CAN</t>
  </si>
  <si>
    <t>COM_stModeReq</t>
  </si>
  <si>
    <t>Enum: ECM</t>
  </si>
  <si>
    <t>request  mode</t>
  </si>
  <si>
    <t>COM_TrqSetP</t>
  </si>
  <si>
    <t>Torque request from CAN</t>
  </si>
  <si>
    <t>COM_trqSet</t>
  </si>
  <si>
    <t>Torque set from dashboard for simulation</t>
  </si>
  <si>
    <t>ISP_cntPrcs10ms</t>
  </si>
  <si>
    <t>10ms process counter</t>
  </si>
  <si>
    <t>ISP_bKl15Cnfm</t>
  </si>
  <si>
    <t>KL15 signal</t>
  </si>
  <si>
    <t>ISP_iPhaU</t>
  </si>
  <si>
    <t>U phase current, A</t>
  </si>
  <si>
    <t>ISP_iPhaV</t>
  </si>
  <si>
    <t>V phase current, A</t>
  </si>
  <si>
    <t>ISP_iPhaW</t>
  </si>
  <si>
    <t>W phase current, A</t>
  </si>
  <si>
    <t>ISP_iAlpha</t>
  </si>
  <si>
    <t>abc-alphaBeta current, A</t>
  </si>
  <si>
    <t>ISP_iBeta</t>
  </si>
  <si>
    <t>ISP_iOfs</t>
  </si>
  <si>
    <t>offset current, A</t>
  </si>
  <si>
    <t>ISP_iPhaSumFlt</t>
  </si>
  <si>
    <t>Summum of phase current, A</t>
  </si>
  <si>
    <t>ISP_iAlphaMon</t>
  </si>
  <si>
    <t>abc-alphaBeta current in level2 monitoring, A</t>
  </si>
  <si>
    <t>ISP_iBetaMon</t>
  </si>
  <si>
    <t>abc-alphaBeta current in level2 monitoring,, A</t>
  </si>
  <si>
    <t>ISP_iOfsMon</t>
  </si>
  <si>
    <t>offset current in level2 monitoring,, A</t>
  </si>
  <si>
    <t>ISP_iPhaSumFltMon</t>
  </si>
  <si>
    <t>Summum of phase current in level2 monitoring,, A</t>
  </si>
  <si>
    <t>ISP_Is</t>
  </si>
  <si>
    <t>Magnitude current, A</t>
  </si>
  <si>
    <t>ISP_IsFlt</t>
  </si>
  <si>
    <t>Magnitude current, A,10ms</t>
  </si>
  <si>
    <t>ISP_isd</t>
  </si>
  <si>
    <t>alphaBeta-dq current, A</t>
  </si>
  <si>
    <t>ISP_isq</t>
  </si>
  <si>
    <t>ISP_isdH6</t>
  </si>
  <si>
    <t>ISP_isqH6</t>
  </si>
  <si>
    <t>ISP_IsMon</t>
  </si>
  <si>
    <t>Magnitude current in level2 monitoring,, A</t>
  </si>
  <si>
    <t>ISP_isdMon</t>
  </si>
  <si>
    <t>alphaBeta-dq current in level2 monitoring,, A</t>
  </si>
  <si>
    <t>ISP_isqMon</t>
  </si>
  <si>
    <t>ISP_iDaFild</t>
  </si>
  <si>
    <t>d-axis filtered current,A</t>
  </si>
  <si>
    <t>ISP_iQaFild</t>
  </si>
  <si>
    <t>q-axis filtered current,A</t>
  </si>
  <si>
    <t>ISP_iDcFlt</t>
  </si>
  <si>
    <t>Calculated Dc link current</t>
  </si>
  <si>
    <t>ISP_agRtrElecAtan2</t>
  </si>
  <si>
    <t>Electric angle of rotor calculated by atan2</t>
  </si>
  <si>
    <t>ISP_agRtrElecObvr</t>
  </si>
  <si>
    <t>Electric angle of rotor by observer</t>
  </si>
  <si>
    <t>ISP_agRtrPoleTrans</t>
  </si>
  <si>
    <t>Resolver electric angle transit to motor electric angle</t>
  </si>
  <si>
    <t>ISP_agRtrElec</t>
  </si>
  <si>
    <t>Electric angle of rotor</t>
  </si>
  <si>
    <t>ISP_agRtrElecCpsd</t>
  </si>
  <si>
    <t>Electric angle of rotor angle error compensated</t>
  </si>
  <si>
    <t>ISP_agAlOfsCal</t>
  </si>
  <si>
    <t>Calibrated output offset rotor angle</t>
  </si>
  <si>
    <t>ISP_agRoughCal</t>
  </si>
  <si>
    <t>Rough Calibrated output offset rotor angle</t>
  </si>
  <si>
    <t>ISP_agRtrElecOld</t>
  </si>
  <si>
    <t>Last Electric angle of rotor</t>
  </si>
  <si>
    <t>ISP_agPosnDes</t>
  </si>
  <si>
    <t>Angle desatnation for position control</t>
  </si>
  <si>
    <t>ISP_agPosnStgt</t>
  </si>
  <si>
    <t>Posntion straightening</t>
  </si>
  <si>
    <t>ISP_n</t>
  </si>
  <si>
    <t>mechanical speed</t>
  </si>
  <si>
    <t>ISP_sincosRatio</t>
  </si>
  <si>
    <t>Compensation sin/cos ration</t>
  </si>
  <si>
    <t>ISP_sinOfsOut</t>
  </si>
  <si>
    <t>Sin offset compensation</t>
  </si>
  <si>
    <t>ISP_cosOfsOut</t>
  </si>
  <si>
    <t>Cos offset compensation</t>
  </si>
  <si>
    <t>ISP_stAlOfsCal</t>
  </si>
  <si>
    <t>Position offset calitation state</t>
  </si>
  <si>
    <t>ISP_uVrefFlt</t>
  </si>
  <si>
    <t>VADC referance voltage, 2.495V</t>
  </si>
  <si>
    <t>ISP_uVadcTestFlt</t>
  </si>
  <si>
    <t>VADC test voltage</t>
  </si>
  <si>
    <t>ISP_uKl30Flt</t>
  </si>
  <si>
    <t>KL30  voltage1</t>
  </si>
  <si>
    <t>ISP_uKl30Flt2</t>
  </si>
  <si>
    <t>KL30  voltage2</t>
  </si>
  <si>
    <t>ISP_uVdd3v3Flt</t>
  </si>
  <si>
    <t>Vdd3v3 voltage</t>
  </si>
  <si>
    <t>ISP_uVdd5g1Flt</t>
  </si>
  <si>
    <t>Vdd5G1 voltage</t>
  </si>
  <si>
    <t>ISP_uVdd5g2Flt</t>
  </si>
  <si>
    <t>Vdd5G2 voltage</t>
  </si>
  <si>
    <t>ISP_uVdd5g3Flt</t>
  </si>
  <si>
    <t>Vdd5G3 voltage</t>
  </si>
  <si>
    <t>ISP_uVdd5comFlt</t>
  </si>
  <si>
    <t>Vdd5com voltage</t>
  </si>
  <si>
    <t>ISP_uVdd16Flt</t>
  </si>
  <si>
    <t>15V voltage</t>
  </si>
  <si>
    <t>ISP_uVdd16FBFlt</t>
  </si>
  <si>
    <t>Feedback 15V voltage</t>
  </si>
  <si>
    <t>ISP_uDc</t>
  </si>
  <si>
    <t>DC link voltage after range check</t>
  </si>
  <si>
    <t>ISP_uDcFlt</t>
  </si>
  <si>
    <t>Filtered DC link voltage</t>
  </si>
  <si>
    <t>ISP_uDcFltMon</t>
  </si>
  <si>
    <t>Filtered DC link voltage in Level2 monitoring</t>
  </si>
  <si>
    <t>ISP_frqElecCaln</t>
  </si>
  <si>
    <t>Electric frequency of rotor by atan2 calculate</t>
  </si>
  <si>
    <t>ISP_frqElecObvr</t>
  </si>
  <si>
    <t>Electric frequency of rotor by observer</t>
  </si>
  <si>
    <t>ISP_frqElec</t>
  </si>
  <si>
    <t>Electric frequency of rotor</t>
  </si>
  <si>
    <t>ISP_frqElecOld</t>
  </si>
  <si>
    <t>Last Electric frequency of rotor</t>
  </si>
  <si>
    <t>ISP_wElec</t>
  </si>
  <si>
    <t>ISP_flgIphaOverCurr</t>
  </si>
  <si>
    <t xml:space="preserve">Over phase current flag </t>
  </si>
  <si>
    <t>ISP_flgResolver</t>
  </si>
  <si>
    <t>Reslover OK flag</t>
  </si>
  <si>
    <t>ISP_lossUHI</t>
  </si>
  <si>
    <t>Loss of IGBT</t>
  </si>
  <si>
    <t>ISP_lossUHD</t>
  </si>
  <si>
    <t>ISP_lossULI</t>
  </si>
  <si>
    <t>ISP_lossULD</t>
  </si>
  <si>
    <t>ISP_lossVHI</t>
  </si>
  <si>
    <t>ISP_lossVHD</t>
  </si>
  <si>
    <t>ISP_lossVLI</t>
  </si>
  <si>
    <t>ISP_lossVLD</t>
  </si>
  <si>
    <t>ISP_lossWHI</t>
  </si>
  <si>
    <t>ISP_lossWHD</t>
  </si>
  <si>
    <t>ISP_lossWLI</t>
  </si>
  <si>
    <t>ISP_lossWLD</t>
  </si>
  <si>
    <t>ISP_lossTotalIGBT</t>
  </si>
  <si>
    <t>ISP_lossMotor</t>
  </si>
  <si>
    <t>Loss of motor</t>
  </si>
  <si>
    <t>ISP_tmpUHI</t>
  </si>
  <si>
    <t>Tj of IGBT</t>
  </si>
  <si>
    <t>ISP_tmpUHD</t>
  </si>
  <si>
    <t>ISP_tmpULI</t>
  </si>
  <si>
    <t>ISP_tmpULD</t>
  </si>
  <si>
    <t>ISP_tmpVHI</t>
  </si>
  <si>
    <t>ISP_tmpVHD</t>
  </si>
  <si>
    <t>ISP_tmpVLI</t>
  </si>
  <si>
    <t>ISP_tmpVLD</t>
  </si>
  <si>
    <t>ISP_tmpWHI</t>
  </si>
  <si>
    <t>ISP_tmpWHD</t>
  </si>
  <si>
    <t>ISP_tmpWLI</t>
  </si>
  <si>
    <t>ISP_tmpWLD</t>
  </si>
  <si>
    <t>ISP_tmpClnt</t>
  </si>
  <si>
    <t>Coolant temperature</t>
  </si>
  <si>
    <t>ISP_tmpMaxIGBT</t>
  </si>
  <si>
    <t>ISP_tmpMaxCap</t>
  </si>
  <si>
    <t>Hot point  temperature of Dclink</t>
  </si>
  <si>
    <t>ISP_tmpMaxStr</t>
  </si>
  <si>
    <t>Hot point  temperature of motor stator</t>
  </si>
  <si>
    <t>ISP_tmpMaxRtr</t>
  </si>
  <si>
    <t>Hot point  temperature of motor rotor</t>
  </si>
  <si>
    <t>ISP_ratIsHeatPnt</t>
  </si>
  <si>
    <t>Hot point  considering Is thermal accumulation</t>
  </si>
  <si>
    <t>ISP_pwrMon</t>
  </si>
  <si>
    <t>Monitoring power</t>
  </si>
  <si>
    <t>SSM_flgRelsInvr</t>
  </si>
  <si>
    <t>Kl30&gt;9V, KL30 is ready for inverter</t>
  </si>
  <si>
    <t>SSM_flgRelsVdd16Sply</t>
  </si>
  <si>
    <t>Kl30&gt;6V, KL30 is ready for communication</t>
  </si>
  <si>
    <t>SSM_bPwrUpLoDrv</t>
  </si>
  <si>
    <t>High side IGBT drive power is up</t>
  </si>
  <si>
    <t>SSM_bPwrUpHiDrv</t>
  </si>
  <si>
    <t>SSM_bCtlSmps</t>
  </si>
  <si>
    <t>Enable signal for VDD15(30)</t>
  </si>
  <si>
    <t>SSM_bRdyHiIgbtDrv</t>
  </si>
  <si>
    <t>IGBT drive high is ready</t>
  </si>
  <si>
    <t>SSM_bRdyLoIgbtDrv</t>
  </si>
  <si>
    <t>IGBT drive low is ready</t>
  </si>
  <si>
    <t>SSM_bRelsHiDfw</t>
  </si>
  <si>
    <t>IGBT drive power supply high side DFW</t>
  </si>
  <si>
    <t>SSM_bRelsLoDfw</t>
  </si>
  <si>
    <t>IGBT drive power supply Low side DFW</t>
  </si>
  <si>
    <t>SSM_bVdd16Ok</t>
  </si>
  <si>
    <t>Lo side 15V OK</t>
  </si>
  <si>
    <t>SSM_bPwmDisChrgEn</t>
  </si>
  <si>
    <t>PWM discharge enable</t>
  </si>
  <si>
    <t>SSM_bActDisChrgEn</t>
  </si>
  <si>
    <t>Active discharge enable</t>
  </si>
  <si>
    <t>SSM_bNESO</t>
  </si>
  <si>
    <t>Emengency shot off, nagetive active</t>
  </si>
  <si>
    <t>SSM_bHiEnFen</t>
  </si>
  <si>
    <t>High side IGBT driver enable</t>
  </si>
  <si>
    <t>SSM_bLoEnFen</t>
  </si>
  <si>
    <t>Low side IGBT driver enable</t>
  </si>
  <si>
    <t>SSM_bReqFailrMod</t>
  </si>
  <si>
    <t>Request failure mode</t>
  </si>
  <si>
    <t>SSM_bReqEmgyShutOff</t>
  </si>
  <si>
    <t>Request emengyceny shut off</t>
  </si>
  <si>
    <t>SSM_stPwrSplyMcu</t>
  </si>
  <si>
    <t>MCU power supply status</t>
  </si>
  <si>
    <t>SSM_stSbcNorm</t>
  </si>
  <si>
    <t>SBC normal status</t>
  </si>
  <si>
    <t>SSM_stSbcOK</t>
  </si>
  <si>
    <t>SBC OK or Not</t>
  </si>
  <si>
    <t>SSM_flgReqSafeSt</t>
  </si>
  <si>
    <t>Fixed</t>
  </si>
  <si>
    <t>Safe state flag</t>
  </si>
  <si>
    <t>SSM_stSafeSt</t>
  </si>
  <si>
    <t>Safe state mode info</t>
  </si>
  <si>
    <t>SSM_flgMROn</t>
  </si>
  <si>
    <t>Mainrelay control</t>
  </si>
  <si>
    <t>SSM_stGateDrv</t>
  </si>
  <si>
    <t>gate drive mode from the statemachine</t>
  </si>
  <si>
    <t>SSM_stDrvMode</t>
  </si>
  <si>
    <t>ECU control mode from the statemachine</t>
  </si>
  <si>
    <t>SSM_ModLoIgbtDrv</t>
  </si>
  <si>
    <t>EiceSilSMClass</t>
  </si>
  <si>
    <t>EiceSilSM.NotOk</t>
  </si>
  <si>
    <t>1EDI2002AS control status</t>
  </si>
  <si>
    <t>SSM_ModHiIgbtDrv</t>
  </si>
  <si>
    <t>SSM_ModIgbtDrv</t>
  </si>
  <si>
    <t>1EDI2002AS status machine status</t>
  </si>
  <si>
    <t>TCC_trqSet</t>
  </si>
  <si>
    <t>Torque set from TDC</t>
  </si>
  <si>
    <t>TCC_flgTiOutErrAlOfsCal</t>
  </si>
  <si>
    <t>rotor offset calibration time out error</t>
  </si>
  <si>
    <t>PMC_Rs</t>
  </si>
  <si>
    <t>Phase resistance</t>
  </si>
  <si>
    <t>PMC_PsiExc</t>
  </si>
  <si>
    <t>wb</t>
  </si>
  <si>
    <t>flux</t>
  </si>
  <si>
    <t>PMC_PsiMax</t>
  </si>
  <si>
    <t>Calculated maximum flux for flux weakening control</t>
  </si>
  <si>
    <t>PMC_Ld</t>
  </si>
  <si>
    <t>d-axis inductance</t>
  </si>
  <si>
    <t>PMC_Lq</t>
  </si>
  <si>
    <t>q-axis inductance</t>
  </si>
  <si>
    <t>PMC_LqSubLd</t>
  </si>
  <si>
    <t>q-axis sub d-axis inductance</t>
  </si>
  <si>
    <t>PMC_RsMon</t>
  </si>
  <si>
    <t>Phase resistance in level2 monitoring</t>
  </si>
  <si>
    <t>PMC_PsiExcMon</t>
  </si>
  <si>
    <t>flux in level2 monitoring</t>
  </si>
  <si>
    <t>PMC_LdMon</t>
  </si>
  <si>
    <t>d-axis inductance in level2 monitoring</t>
  </si>
  <si>
    <t>PMC_LqMon</t>
  </si>
  <si>
    <t>q-axis inductance in level2 monitoring</t>
  </si>
  <si>
    <t>PMC_LqSubLdMon</t>
  </si>
  <si>
    <t>q-axis sub d-axis inductance in level2 monitoring</t>
  </si>
  <si>
    <t>PMC_IsdDes</t>
  </si>
  <si>
    <t>d-axis target current</t>
  </si>
  <si>
    <t>PMC_IsqDes</t>
  </si>
  <si>
    <t>q-axis target current</t>
  </si>
  <si>
    <t>PMC_IsMax</t>
  </si>
  <si>
    <t>Caculated maximum phase current at current frequency</t>
  </si>
  <si>
    <t>PMC_TrqMax</t>
  </si>
  <si>
    <t>Maximum torque limit</t>
  </si>
  <si>
    <t>PMC_TrqOutEst</t>
  </si>
  <si>
    <t>Estimated output torque</t>
  </si>
  <si>
    <t>PMC_RvD</t>
  </si>
  <si>
    <t>RvSal D</t>
  </si>
  <si>
    <t>PMC_RvQ</t>
  </si>
  <si>
    <t>RvSal Q</t>
  </si>
  <si>
    <t>PMC_kid</t>
  </si>
  <si>
    <t>Ki d</t>
  </si>
  <si>
    <t>PMC_kiq</t>
  </si>
  <si>
    <t>Ki q</t>
  </si>
  <si>
    <t>PMC_kpd</t>
  </si>
  <si>
    <t>Kd d</t>
  </si>
  <si>
    <t>PMC_kpq</t>
  </si>
  <si>
    <t>Kd q</t>
  </si>
  <si>
    <t>PMC_UsMax</t>
  </si>
  <si>
    <t>SVPWM maximum phase voltage</t>
  </si>
  <si>
    <t>PMC_UsqPI</t>
  </si>
  <si>
    <t>q axis output voltage</t>
  </si>
  <si>
    <t>PMC_UsdPI</t>
  </si>
  <si>
    <t>d axis output voltage</t>
  </si>
  <si>
    <t>PMC_UsResScal</t>
  </si>
  <si>
    <t>Left voltage for flux weakening control</t>
  </si>
  <si>
    <t>PMC_UsdFlt</t>
  </si>
  <si>
    <t>d axis output Nrm voltage</t>
  </si>
  <si>
    <t>PMC_UsqFlt</t>
  </si>
  <si>
    <t>q axis output Nrm voltage</t>
  </si>
  <si>
    <t>PMC_IsFlt</t>
  </si>
  <si>
    <t>PMC_isdFlt</t>
  </si>
  <si>
    <t>PMC_isqFlt</t>
  </si>
  <si>
    <t>PMC_UsdScal</t>
  </si>
  <si>
    <t>PMC_UsqScal</t>
  </si>
  <si>
    <t>PMC_bFwl2AscRedy</t>
  </si>
  <si>
    <t>Freewheeling to ASC flag</t>
  </si>
  <si>
    <t>PMC_stGateDrv</t>
  </si>
  <si>
    <t>EGM.Shortcircuit</t>
  </si>
  <si>
    <t>PMC_flgReqSafeSt</t>
  </si>
  <si>
    <t>PMC_tiPerd</t>
  </si>
  <si>
    <t>Period time output from MCT considering variable freuqency and random frequency</t>
  </si>
  <si>
    <t>PMC_TrqMon</t>
  </si>
  <si>
    <t>Lv2 calculated output torque</t>
  </si>
  <si>
    <t>SVM_UsAScal</t>
  </si>
  <si>
    <t>alpha output voltage</t>
  </si>
  <si>
    <t>SVM_UsBScal</t>
  </si>
  <si>
    <t>beta output voltage</t>
  </si>
  <si>
    <t>SVM_UsSqr</t>
  </si>
  <si>
    <t>Magnitue output voltage</t>
  </si>
  <si>
    <t>SVM_tiGate</t>
  </si>
  <si>
    <t>Gate time output</t>
  </si>
  <si>
    <t>SVM_tiPerd</t>
  </si>
  <si>
    <t>Period time output</t>
  </si>
  <si>
    <t>SVM_agTrafoOut</t>
  </si>
  <si>
    <t>OSC electric angle of rotor</t>
  </si>
  <si>
    <t>TLC_TrqEmMax</t>
  </si>
  <si>
    <t>Em maximum torque</t>
  </si>
  <si>
    <t>TLC_TrqEmMin</t>
  </si>
  <si>
    <t>Em minimum torque</t>
  </si>
  <si>
    <t>TLC_TrqEmMot</t>
  </si>
  <si>
    <t>Em maximum torque, motor mode</t>
  </si>
  <si>
    <t>TLC_TrqEmGen</t>
  </si>
  <si>
    <t>Em minimum torque, generator mode</t>
  </si>
  <si>
    <t>TLC_TrqEmQstyMot</t>
  </si>
  <si>
    <t>Em maximum torque, motor mode, torque limt only</t>
  </si>
  <si>
    <t>TLC_TrqEmQstyGen</t>
  </si>
  <si>
    <t>Em minimum torque, generator mode,torque limit only</t>
  </si>
  <si>
    <t>TLC_TrqEmQstyMax</t>
  </si>
  <si>
    <t>Em maximum torque,torque limt only</t>
  </si>
  <si>
    <t>TLC_TrqEmQstyMin</t>
  </si>
  <si>
    <t>Em minimum torque,torque limt only</t>
  </si>
  <si>
    <t>TLC_TrqMechMax</t>
  </si>
  <si>
    <t>Em mechanical maximum torque</t>
  </si>
  <si>
    <t>TLC_TrqMechMin</t>
  </si>
  <si>
    <t>Em mechanical minimum torque</t>
  </si>
  <si>
    <t>TLC_pwrEmMax</t>
  </si>
  <si>
    <t>Em maximum power</t>
  </si>
  <si>
    <t>TLC_pwrEmMin</t>
  </si>
  <si>
    <t>Em minimum power</t>
  </si>
  <si>
    <t>TLC_pwrEmMot</t>
  </si>
  <si>
    <t>Em maximum power, motor mode</t>
  </si>
  <si>
    <t>TLC_pwrEmGen</t>
  </si>
  <si>
    <t>Em minimum power, generator mode</t>
  </si>
  <si>
    <t>TLC_stTrqEmMax</t>
  </si>
  <si>
    <t>TQLClass</t>
  </si>
  <si>
    <t>TQL.Inactive</t>
  </si>
  <si>
    <t>status Em maximum torque</t>
  </si>
  <si>
    <t>TLC_stTrqEmMin</t>
  </si>
  <si>
    <t>status Em minimum torque</t>
  </si>
  <si>
    <t>TLC_stTrqEmMot</t>
  </si>
  <si>
    <t>status Em maximum torque, motor mode</t>
  </si>
  <si>
    <t>TLC_stTrqEmGen</t>
  </si>
  <si>
    <t>status Em minimum torque, generator mode</t>
  </si>
  <si>
    <t>TLC_stTqEmQstyMot</t>
  </si>
  <si>
    <t>status Em maximum torque, motor mode, torque limt only</t>
  </si>
  <si>
    <t>TLC_stTqEmQstyGen</t>
  </si>
  <si>
    <t>status Em minimum torque, generator mode,torque limit only</t>
  </si>
  <si>
    <t>TLC_stTqEmQstyMax</t>
  </si>
  <si>
    <t>statusEm maximum torque,torque limt only</t>
  </si>
  <si>
    <t>TLC_stTqEmQstyMin</t>
  </si>
  <si>
    <t>status Em minimum torque,torque limt only</t>
  </si>
  <si>
    <t>TLC_stPwrEmMax</t>
  </si>
  <si>
    <t>status Em maximum power</t>
  </si>
  <si>
    <t>TLC_stPwrEmMin</t>
  </si>
  <si>
    <t>status Em minimum power</t>
  </si>
  <si>
    <t>TLC_stPwrEmMot</t>
  </si>
  <si>
    <t>status Em maximum power, motor mode</t>
  </si>
  <si>
    <t>TLC_stPwrEmGen</t>
  </si>
  <si>
    <t>status Em minimum power, generator mode</t>
  </si>
  <si>
    <t>TLC_TrqMechMaxExt</t>
  </si>
  <si>
    <t>TLC_TrqMechMinExt</t>
  </si>
  <si>
    <t>ISP_cTrqSlpMax</t>
  </si>
  <si>
    <t>Maximum torque change</t>
  </si>
  <si>
    <t>ISP_trqEmDes</t>
  </si>
  <si>
    <t xml:space="preserve">Target Emachine  torque </t>
  </si>
  <si>
    <t>ISP_nDes</t>
  </si>
  <si>
    <t>desired speed</t>
  </si>
  <si>
    <t>ISP_uDcDes</t>
  </si>
  <si>
    <t>desired DC link voltage</t>
  </si>
  <si>
    <t>ISP_frqDes</t>
  </si>
  <si>
    <t>desired Electric frequency in isctrl mode</t>
  </si>
  <si>
    <t>ISP_isDes</t>
  </si>
  <si>
    <t>desired is in isctrl mode</t>
  </si>
  <si>
    <t>ISP_cTrqSlpCycle</t>
  </si>
  <si>
    <t>Maximum torque variantion in a 2ms cycle</t>
  </si>
  <si>
    <t>TCC_trqEmDesWoDmp</t>
  </si>
  <si>
    <t>Desired em torque without damping control compensation</t>
  </si>
  <si>
    <t>TCC_trqActvDmp</t>
  </si>
  <si>
    <t>Acitve damping control torque output</t>
  </si>
  <si>
    <t>TCC_trqEmDesWiDmp</t>
  </si>
  <si>
    <t>Desired em torque with damping control compensation</t>
  </si>
  <si>
    <t>TCC_flgAlOfsCal</t>
  </si>
  <si>
    <t>Flag in position calibration</t>
  </si>
  <si>
    <t>TCC_stRoughCalSet</t>
  </si>
  <si>
    <t>0 position rough calibration</t>
  </si>
  <si>
    <t>ISP_bIphCalDone</t>
  </si>
  <si>
    <t>phase current sensor calibration finished</t>
  </si>
  <si>
    <t>ISP_bSwtTStr</t>
  </si>
  <si>
    <t>Stator Temperature Measure range switch</t>
  </si>
  <si>
    <t>ISP_bSwtTStr2</t>
  </si>
  <si>
    <t>Stator Temperature Measure range switch2</t>
  </si>
  <si>
    <t>ISP_tStr</t>
  </si>
  <si>
    <t xml:space="preserve">Em stator temperature </t>
  </si>
  <si>
    <t>ISP_tStr2</t>
  </si>
  <si>
    <t>Em stator temperature  2</t>
  </si>
  <si>
    <t>ISP_tDbcInvU</t>
  </si>
  <si>
    <t>IGBT phase U temperature</t>
  </si>
  <si>
    <t>ISP_tDbcInvV</t>
  </si>
  <si>
    <t>IGBT phase V temperature</t>
  </si>
  <si>
    <t>ISP_tDbcInvW</t>
  </si>
  <si>
    <t>IGBT phase W  temperature</t>
  </si>
  <si>
    <t>ISP_bReadyHV</t>
  </si>
  <si>
    <t xml:space="preserve">battery voltage ready </t>
  </si>
  <si>
    <t>ISP_trqEmMax</t>
  </si>
  <si>
    <t>Calculated maiximun em torque</t>
  </si>
  <si>
    <t>ISP_trqEmMin</t>
  </si>
  <si>
    <t>Calculated minimum em torque</t>
  </si>
  <si>
    <t>ISP_trqDmpLimDyn</t>
  </si>
  <si>
    <t>dynamic damping torque limition</t>
  </si>
  <si>
    <t>ISP_trqDmpLimSta</t>
  </si>
  <si>
    <t>static damping torque limition</t>
  </si>
  <si>
    <t>ISP_trqDmpMax</t>
  </si>
  <si>
    <t>ISP_trqFrc</t>
  </si>
  <si>
    <t>friction torque</t>
  </si>
  <si>
    <t>ISP_bT15</t>
  </si>
  <si>
    <t>Kl15 status after ISC</t>
  </si>
  <si>
    <t>ISP_bT50</t>
  </si>
  <si>
    <t>Kl50 status after ISC</t>
  </si>
  <si>
    <t>ISP_bNfFltH</t>
  </si>
  <si>
    <t>high side gate fault status after ISC</t>
  </si>
  <si>
    <t>ISP_bNfFltL</t>
  </si>
  <si>
    <t>low side gate fault status after ISC</t>
  </si>
  <si>
    <t>ISP_bReadyUvw</t>
  </si>
  <si>
    <t>gate driver supply ready status after ISC</t>
  </si>
  <si>
    <t>ISP_bGearP</t>
  </si>
  <si>
    <t>gear p status after ISC</t>
  </si>
  <si>
    <t>ISP_bGearR</t>
  </si>
  <si>
    <t>gear r status after ISC</t>
  </si>
  <si>
    <t>ISP_bGearN</t>
  </si>
  <si>
    <t>gear n status after ISC</t>
  </si>
  <si>
    <t>ISP_bGearD</t>
  </si>
  <si>
    <t>gear d status after ISC</t>
  </si>
  <si>
    <t>ISP_stModeReq</t>
  </si>
  <si>
    <t>Mode request from CAN</t>
  </si>
  <si>
    <t>TCP_stFSEN</t>
  </si>
  <si>
    <t>Level2 safety state</t>
  </si>
  <si>
    <t>COM_NSetPMon</t>
  </si>
  <si>
    <t>Speed request from CAN for L2 monitoring</t>
  </si>
  <si>
    <t>COM_TrqSetPMon</t>
  </si>
  <si>
    <t>Torque request from CAN for L2 monitoring</t>
  </si>
  <si>
    <t>COM_UdcSetPMon</t>
  </si>
  <si>
    <t>Vdc request from CAN for L2 monitoring</t>
  </si>
  <si>
    <t>COM_stModeReqMon</t>
  </si>
  <si>
    <t>Mode request from CAN for L2 monitoring</t>
  </si>
  <si>
    <t>rawCddIn1</t>
  </si>
  <si>
    <t>--</t>
  </si>
  <si>
    <t>ImportedExtern</t>
  </si>
  <si>
    <t xml:space="preserve">cdd input structure from the low level </t>
  </si>
  <si>
    <t>rawCddIn2</t>
  </si>
  <si>
    <t>Auto</t>
  </si>
  <si>
    <t>rawCddOut</t>
  </si>
  <si>
    <t xml:space="preserve">cdd output structure from the low level </t>
  </si>
  <si>
    <t>rawCddHwMgr</t>
  </si>
  <si>
    <t>ComCanTxd</t>
  </si>
  <si>
    <t>communication can transmit structure</t>
  </si>
  <si>
    <t>ComCanRxd</t>
  </si>
  <si>
    <t>communication can receive structure</t>
  </si>
  <si>
    <t>ComCanRxdMon</t>
  </si>
  <si>
    <t>communication can receive structure for Level 2</t>
  </si>
  <si>
    <t>msgCore2to0_10ms_Out</t>
  </si>
  <si>
    <t>Core2 out: message from core2 to core 0 in 10ms process</t>
  </si>
  <si>
    <t>msgCore2to0_10ms_In</t>
  </si>
  <si>
    <t>Core0 in message from core2 to core 0 in 10ms process</t>
  </si>
  <si>
    <t>msgCore0to2_10ms_Out</t>
  </si>
  <si>
    <t>Core0 out: message from core0 to core 2 in 10ms process</t>
  </si>
  <si>
    <t>msgCore0to2_1ms_Out</t>
  </si>
  <si>
    <t>Core0 out: message from core0 to core 2 in 1ms process</t>
  </si>
  <si>
    <t>msgCore0to2_10ms_In</t>
  </si>
  <si>
    <t>Core0 In: message from core0 to core 2 in 10ms process</t>
  </si>
  <si>
    <t>msgCore0to2_1ms_In</t>
  </si>
  <si>
    <t>Core0 In: message from core0 to core 2 in 1ms process</t>
  </si>
  <si>
    <t>Bsw2Asw_10ms_In</t>
  </si>
  <si>
    <t>singals from BSW</t>
  </si>
  <si>
    <t>AngleOut</t>
  </si>
  <si>
    <t>Angle</t>
  </si>
  <si>
    <t>FOC</t>
  </si>
  <si>
    <t>FOC_Kp</t>
  </si>
  <si>
    <t>speedkp</t>
  </si>
  <si>
    <t>FOC_Ki</t>
  </si>
  <si>
    <t>speedki</t>
  </si>
  <si>
    <t>FOC_CurKp</t>
  </si>
  <si>
    <t>curkp</t>
  </si>
  <si>
    <t>FOC_CurKi</t>
  </si>
  <si>
    <t>curki</t>
  </si>
  <si>
    <t>speedref</t>
  </si>
  <si>
    <t>cmprU</t>
  </si>
  <si>
    <t>cmprV</t>
  </si>
  <si>
    <t>cmprW</t>
  </si>
  <si>
    <t>BusElementName</t>
  </si>
  <si>
    <t>SimulinkBusName</t>
  </si>
  <si>
    <t>DimensionsMode</t>
  </si>
  <si>
    <t>DocUnits</t>
  </si>
  <si>
    <t>Bsw_stSBC</t>
  </si>
  <si>
    <t>Bsw2Asw10msST</t>
  </si>
  <si>
    <t>Sig10ms02ST</t>
  </si>
  <si>
    <t>ISP_phaCurrentU</t>
  </si>
  <si>
    <t>Sig10ms20ST</t>
  </si>
  <si>
    <t>ISP_phaCurrentV</t>
  </si>
  <si>
    <t>ISP_phaCurrentW</t>
  </si>
  <si>
    <t>TCC_trqSet_1ms</t>
  </si>
  <si>
    <t>Sig1ms02ST</t>
  </si>
  <si>
    <t>Core0_ISP_IGBTTemp1</t>
  </si>
  <si>
    <t>Core0_tInv</t>
  </si>
  <si>
    <t>Core0_ISP_IGBTTemp2</t>
  </si>
  <si>
    <t>Core0_ISP_tInvx</t>
  </si>
  <si>
    <t>Bus:Core0_tInv</t>
  </si>
  <si>
    <t>Core0_ISP_PCBTemp</t>
  </si>
  <si>
    <t>Core0_ISP_AnaOut</t>
  </si>
  <si>
    <t>Bus:Core0_ISP_tInvx</t>
  </si>
  <si>
    <t>Core0_ISP_uKl15Flt</t>
  </si>
  <si>
    <t>Core0_ISP_uKl30Flt</t>
  </si>
  <si>
    <t>Core0_ISP_P15VDFlt</t>
  </si>
  <si>
    <t>Core0_ISP_bKI15Cnfm</t>
  </si>
  <si>
    <t>Core0_ISP_DinCnfm</t>
  </si>
  <si>
    <t>prwDC</t>
  </si>
  <si>
    <t>Core0_ISP_Dcx</t>
  </si>
  <si>
    <t>Core0_ISP_uDC</t>
  </si>
  <si>
    <t>iDcMax</t>
  </si>
  <si>
    <t>iDcMin</t>
  </si>
  <si>
    <t>uDcMax</t>
  </si>
  <si>
    <t>uDcMin</t>
  </si>
  <si>
    <t>Core0_ISP_trqEmDes</t>
  </si>
  <si>
    <t>Core0_ISP_trqx</t>
  </si>
  <si>
    <t>Core0_ISP_trqDmpLimDyn</t>
  </si>
  <si>
    <t>Core0_ISP_trqDmpMax</t>
  </si>
  <si>
    <t>Core0_ISP_trqEmMax</t>
  </si>
  <si>
    <t>Core0_ISP_trqEmMin</t>
  </si>
  <si>
    <t>Core0_ISP_trqDmpLimSta</t>
  </si>
  <si>
    <t>Core0_ISP_trqFrc</t>
  </si>
  <si>
    <t>Core0_ISP_nDes</t>
  </si>
  <si>
    <t>Core0_ISP_cmdx</t>
  </si>
  <si>
    <t>Core0_ISP_uDcDes</t>
  </si>
  <si>
    <t>Core0_ISP_frqDes</t>
  </si>
  <si>
    <t>Core0_ISP_isDes</t>
  </si>
  <si>
    <t>Core0_ISP_cTrqSlpMax</t>
  </si>
  <si>
    <t>Core0_ISP_kp</t>
  </si>
  <si>
    <t>Core0_ISP_ctrlParax</t>
  </si>
  <si>
    <t>Core0_ISP_ki</t>
  </si>
  <si>
    <t>Core0_ISP_kpDmpSta</t>
  </si>
  <si>
    <t>Core0_ISP_kpDmpDyn</t>
  </si>
  <si>
    <t>Core0_ISP_tauOscDrvTrn</t>
  </si>
  <si>
    <t>Core0_ISP_trqPAnCtrlMax</t>
  </si>
  <si>
    <t>Core0_ISP_trqPAnCtrlMin</t>
  </si>
  <si>
    <t>Core0_ISP_ComCmd</t>
  </si>
  <si>
    <t>Bus:Core0_ISP_Dcx</t>
  </si>
  <si>
    <t>Core0_ISP_stModeReq</t>
  </si>
  <si>
    <t>Bus:Core0_ISP_trqx</t>
  </si>
  <si>
    <t>Bus:Core0_ISP_cmdx</t>
  </si>
  <si>
    <t>Bus:Core0_ISP_ctrlParax</t>
  </si>
  <si>
    <t>Com_Msg06</t>
  </si>
  <si>
    <t>Bus:Com_MSG06</t>
  </si>
  <si>
    <t>Core0_ISP_tmpMaxStr</t>
  </si>
  <si>
    <t>Core0_ISP_tmpOut</t>
  </si>
  <si>
    <t>Core0_ISP_tmpMaxRtr</t>
  </si>
  <si>
    <t>Core0_ISP_tmpMaxCap</t>
  </si>
  <si>
    <t>Core0_ISP_ratIsHeatPnt</t>
  </si>
  <si>
    <t>Core0_ISP_Out</t>
  </si>
  <si>
    <t>Bus:Core0_ISP_AnaOut</t>
  </si>
  <si>
    <t>Bus:Core0_ISP_ComCmd</t>
  </si>
  <si>
    <t>Bus:Core0_ISP_tmpOut</t>
  </si>
  <si>
    <t>Core0_ISP_bSwtTStr</t>
  </si>
  <si>
    <t>Core0_ISP_bSwtTstrX</t>
  </si>
  <si>
    <t>Core0_ISP_bSwtTStr2</t>
  </si>
  <si>
    <t>SAQ_KL15</t>
  </si>
  <si>
    <t>Core0_gpiRt</t>
  </si>
  <si>
    <t>SAQ_RDYH</t>
  </si>
  <si>
    <t>SAQ_RDYL</t>
  </si>
  <si>
    <t>SAQ_STL2ASCEN</t>
  </si>
  <si>
    <t>SAQ_WAKE</t>
  </si>
  <si>
    <t>SAQ_UBR1</t>
  </si>
  <si>
    <t>Core0_vadcRt</t>
  </si>
  <si>
    <t>SAQ_UBR2</t>
  </si>
  <si>
    <t>SAQ_VDD5G1</t>
  </si>
  <si>
    <t>SAQ_VDD5COM</t>
  </si>
  <si>
    <t>SAQ_ADCTEST</t>
  </si>
  <si>
    <t>SAQ_HWVER</t>
  </si>
  <si>
    <t>SAQ_SINH</t>
  </si>
  <si>
    <t>SAQ_SINL</t>
  </si>
  <si>
    <t>SAQ_COSH</t>
  </si>
  <si>
    <t>SAQ_COSL</t>
  </si>
  <si>
    <t>SAQ_HVUN</t>
  </si>
  <si>
    <t>SAQ_HVUP</t>
  </si>
  <si>
    <t>SAQ_IUA</t>
  </si>
  <si>
    <t>SAQ_IUB</t>
  </si>
  <si>
    <t>SAQ_IVA</t>
  </si>
  <si>
    <t>SAQ_IVB</t>
  </si>
  <si>
    <t>SAQ_IWA</t>
  </si>
  <si>
    <t>SAQ_IWB</t>
  </si>
  <si>
    <t>SAQ_MTEM1</t>
  </si>
  <si>
    <t>SAQ_MTEM2</t>
  </si>
  <si>
    <t>SAQ_VDD15</t>
  </si>
  <si>
    <t>SAQ_VDD5</t>
  </si>
  <si>
    <t>Core0_cddRt</t>
  </si>
  <si>
    <t>SAQ_stIgbtDrvCnfgOK</t>
  </si>
  <si>
    <t>Core0_SAQ_Out</t>
  </si>
  <si>
    <t>Bus:Core0_gpiRt</t>
  </si>
  <si>
    <t>Bus:Core0_vadcRt</t>
  </si>
  <si>
    <t>Bus:Core0_cddRt</t>
  </si>
  <si>
    <t>SSM_ModLoIgbtDrv_I</t>
  </si>
  <si>
    <t>Core0_SSM_Out</t>
  </si>
  <si>
    <t>SSM_ModHiIgbtDrv_I</t>
  </si>
  <si>
    <t>SSM_bPwrUpLoDrv_I</t>
  </si>
  <si>
    <t>SSM_bPwrUpHiDrv_I</t>
  </si>
  <si>
    <t>SSM_bRelsLoDfw_I</t>
  </si>
  <si>
    <t>SSM_bRelsHiDfw_I</t>
  </si>
  <si>
    <t>SSM_Vdd16Ok</t>
  </si>
  <si>
    <t>SSM_stDrvMode_I</t>
  </si>
  <si>
    <t>SSM_stGateDrv_I</t>
  </si>
  <si>
    <t>SSM_flgReqSafeSt_I</t>
  </si>
  <si>
    <t>bPreChrgDone</t>
  </si>
  <si>
    <t>Core0_SSM_OSC</t>
  </si>
  <si>
    <t>Core0_TLC_Out</t>
  </si>
  <si>
    <t>Enum: TQL</t>
  </si>
  <si>
    <t>TCC_trqSet_I</t>
  </si>
  <si>
    <t>Core0_TCC_Out</t>
  </si>
  <si>
    <t>TCC_flgAlOfsCal_I</t>
  </si>
  <si>
    <t>TCC_stRoughCalSet_I</t>
  </si>
  <si>
    <t>COM_IdcMax</t>
  </si>
  <si>
    <t>Com_MSG01</t>
  </si>
  <si>
    <t>COM_IdcMin</t>
  </si>
  <si>
    <t>COM_UdcMax</t>
  </si>
  <si>
    <t>COM_UdcMin</t>
  </si>
  <si>
    <t>COM_stHvbMaiRly</t>
  </si>
  <si>
    <t>COM_KpHigh</t>
  </si>
  <si>
    <t>Com_MSG02</t>
  </si>
  <si>
    <t>COM_KpLow</t>
  </si>
  <si>
    <t>COM_NDeltaBound</t>
  </si>
  <si>
    <t>COM_TrqPAmax</t>
  </si>
  <si>
    <t>COM_TrqPAmin</t>
  </si>
  <si>
    <t>COM_TrqMax</t>
  </si>
  <si>
    <t>Com_MSG03</t>
  </si>
  <si>
    <t>COM_TrqMin</t>
  </si>
  <si>
    <t>COM_cTrqSlopeMax</t>
  </si>
  <si>
    <t>Com_MSG04</t>
  </si>
  <si>
    <t>COM_UdcSetP</t>
  </si>
  <si>
    <t>COM_FrqStrSetP</t>
  </si>
  <si>
    <t>Com_MSG05</t>
  </si>
  <si>
    <t>COM_IsSetP</t>
  </si>
  <si>
    <t>COM_OfsAl</t>
  </si>
  <si>
    <t>COM_PumpCtl</t>
  </si>
  <si>
    <t>COM_bSetOfsAl</t>
  </si>
  <si>
    <t>COM_bUseFrqStrSynt</t>
  </si>
  <si>
    <t>COM_flgInvrCanActvnCmd</t>
  </si>
  <si>
    <t>COM_TrqDmpLim</t>
  </si>
  <si>
    <t>Com_MSG06</t>
  </si>
  <si>
    <t>COM_TrqDmpMax</t>
  </si>
  <si>
    <t>COM_kDmp</t>
  </si>
  <si>
    <t>COM_stDstCReq</t>
  </si>
  <si>
    <t>COM_ctrlMode</t>
  </si>
  <si>
    <t>Com_MSG08</t>
  </si>
  <si>
    <t>COM_iDCmd</t>
  </si>
  <si>
    <t>COM_iQCmd</t>
  </si>
  <si>
    <t>COM_uAlphaCmd</t>
  </si>
  <si>
    <t>COM_uBetaCmd</t>
  </si>
  <si>
    <t>COM_uDCmd</t>
  </si>
  <si>
    <t>COM_uQCmd</t>
  </si>
  <si>
    <t>Core0_COM_Out</t>
  </si>
  <si>
    <t>Bus:Com_MSG01</t>
  </si>
  <si>
    <t>Bus:Com_MSG02</t>
  </si>
  <si>
    <t>Bus:Com_MSG03</t>
  </si>
  <si>
    <t>Bus:Com_MSG04</t>
  </si>
  <si>
    <t>Bus:Com_MSG05</t>
  </si>
  <si>
    <t>Bus:Com_MSG08</t>
  </si>
  <si>
    <t>Core2_ISP_Is</t>
  </si>
  <si>
    <t>Core2_ISP_Isx</t>
  </si>
  <si>
    <t>Core2_ISP_isd</t>
  </si>
  <si>
    <t>Core2_ISP_isq</t>
  </si>
  <si>
    <t>Core2_ISP_sin</t>
  </si>
  <si>
    <t>Core2_ISP_isdH6</t>
  </si>
  <si>
    <t>Core2_ISP_isqH6</t>
  </si>
  <si>
    <t>Core2_ISP_AngleOut</t>
  </si>
  <si>
    <t>Core2_ISP_stAlOfsCal</t>
  </si>
  <si>
    <t>Core2_ISP_nx</t>
  </si>
  <si>
    <t>Core2_ISP_agOffsCal</t>
  </si>
  <si>
    <t>Core2_ISP_agRtrElec</t>
  </si>
  <si>
    <t>Core2_ISP_frqElec</t>
  </si>
  <si>
    <t>Core2_ISP_wElec</t>
  </si>
  <si>
    <t>Core2_ISP_n</t>
  </si>
  <si>
    <t>Core2_ISP_nAbs</t>
  </si>
  <si>
    <t>Core2_ISP_flgResolver</t>
  </si>
  <si>
    <t>Core2_ISP_agRtr</t>
  </si>
  <si>
    <t>Core2_ISC_agRtrElecObvr</t>
  </si>
  <si>
    <t>Core2_ISC_frqElecObvr</t>
  </si>
  <si>
    <t>Core2_ISC_agRtrElecAtan2</t>
  </si>
  <si>
    <t>Core2_ISC_frqElecCaln</t>
  </si>
  <si>
    <t>Core2_ISP_iPhaU</t>
  </si>
  <si>
    <t>Core2_ISP_iPhabc</t>
  </si>
  <si>
    <t>Core2_ISP_iPhaV</t>
  </si>
  <si>
    <t>Core2_ISP_iPhaW</t>
  </si>
  <si>
    <t>Core2_ISP_AnaOut</t>
  </si>
  <si>
    <t>Bus:Core2_ISP_agRtr</t>
  </si>
  <si>
    <t>Bus:Core2_ISP_iPhabc</t>
  </si>
  <si>
    <t>Core2_ISP_bIphCalDone</t>
  </si>
  <si>
    <t>Core2_ISP_uDc</t>
  </si>
  <si>
    <t>Core2_ISP_tmpMaxIGBT</t>
  </si>
  <si>
    <t>Core2_ISC_tmpOut</t>
  </si>
  <si>
    <t>Core2_ISP_lossTotalIGBT</t>
  </si>
  <si>
    <t>Core2_ISP_iDcFlt</t>
  </si>
  <si>
    <t>Core2_ISP_tmpClnt</t>
  </si>
  <si>
    <t>Core2_ISP_Out</t>
  </si>
  <si>
    <t>Bus:Core2_ISP_Isx</t>
  </si>
  <si>
    <t>Bus:Core2_ISP_nx</t>
  </si>
  <si>
    <t>Bus:Core2_ISP_AnaOut</t>
  </si>
  <si>
    <t>Bus:Core2_ISC_tmpOut</t>
  </si>
  <si>
    <t>Core2_SAQ_iPhaU</t>
  </si>
  <si>
    <t>Core2_SAQ_Out</t>
  </si>
  <si>
    <t>Core2_SAQ_iPhaV</t>
  </si>
  <si>
    <t>Core2_SAQ_iPhaW</t>
  </si>
  <si>
    <t>Core2_SAQ_rslvSinAmp</t>
  </si>
  <si>
    <t>Core2_SAQ_rslvCosAmp</t>
  </si>
  <si>
    <t>Core2_SAQ_HVU</t>
  </si>
  <si>
    <t>Core2_PMC_UsdScal</t>
  </si>
  <si>
    <t>Core2_PMC_Out</t>
  </si>
  <si>
    <t>Core2_PMC_tiPerd</t>
  </si>
  <si>
    <t>Core2_PMC_stGateDrv</t>
  </si>
  <si>
    <t>Core2_PMC_flgReqSafeSt</t>
  </si>
  <si>
    <t>Core2_PMC_Rs</t>
  </si>
  <si>
    <t>Core2_PMC_TrqOutEst</t>
  </si>
  <si>
    <t>Core2_excMaxOut</t>
  </si>
  <si>
    <t>Core2_ISP_RslvrxFlt</t>
  </si>
  <si>
    <t>Core2_excMinOut</t>
  </si>
  <si>
    <t>Core2_excFlt</t>
  </si>
  <si>
    <t>Core2_ofsFlt</t>
  </si>
  <si>
    <t>Core2_dAngleFlt</t>
  </si>
  <si>
    <t>Core2_sinAmpOut</t>
  </si>
  <si>
    <t>Core2_sinOfsOut</t>
  </si>
  <si>
    <t>Core2_cosAmpOut</t>
  </si>
  <si>
    <t>Core2_cosOfsOut</t>
  </si>
  <si>
    <t>f32_DutyUon</t>
  </si>
  <si>
    <t>Duty</t>
  </si>
  <si>
    <t>f32_DutyVon</t>
  </si>
  <si>
    <t>f32_DutyWon</t>
  </si>
  <si>
    <t>Core2_iPhaU</t>
  </si>
  <si>
    <t>Core2_CDDIN2</t>
  </si>
  <si>
    <t>Core2_iPhaV</t>
  </si>
  <si>
    <t>Core2_iPhaW</t>
  </si>
  <si>
    <t>Core2_RvSin</t>
  </si>
  <si>
    <t>Core2_RvCos</t>
  </si>
  <si>
    <t>Core2_Udc</t>
  </si>
  <si>
    <t>flgFO</t>
  </si>
  <si>
    <t>IO_In_1ms</t>
  </si>
  <si>
    <t>flgOV</t>
  </si>
  <si>
    <t>flgSBC</t>
  </si>
  <si>
    <t>flgUHall</t>
  </si>
  <si>
    <t>flgVHall</t>
  </si>
  <si>
    <t>flgWHall</t>
  </si>
  <si>
    <t>flgUOC</t>
  </si>
  <si>
    <t>flgVOC</t>
  </si>
  <si>
    <t>flgWOC</t>
  </si>
  <si>
    <t>flgHSLV</t>
  </si>
  <si>
    <t>flgLSLV</t>
  </si>
  <si>
    <t>Core0_TLC_trqMotMax</t>
  </si>
  <si>
    <t>Core0_TLC_TrqOut</t>
  </si>
  <si>
    <t>Core0_TLC_trqGenMax</t>
  </si>
  <si>
    <t>Core2_FOC_Out</t>
  </si>
  <si>
    <t>Bus:Duty</t>
  </si>
  <si>
    <t>Core2_Iqref</t>
  </si>
  <si>
    <t>Core2_Idref</t>
  </si>
  <si>
    <t>Core2_Udref</t>
  </si>
  <si>
    <t>Core2_Uqref</t>
  </si>
  <si>
    <t>Core2_Usage</t>
  </si>
  <si>
    <t>Core2_DCCurrent</t>
  </si>
  <si>
    <t>NumericType</t>
  </si>
  <si>
    <t>Fixed-point: binary point scaling</t>
  </si>
  <si>
    <t>Signed</t>
  </si>
  <si>
    <t>Unsigned</t>
  </si>
  <si>
    <t>Exported</t>
  </si>
  <si>
    <t>Imported</t>
  </si>
  <si>
    <t>Sample based</t>
  </si>
  <si>
    <t>Variable</t>
  </si>
  <si>
    <t>Frame based</t>
  </si>
  <si>
    <t>GetSet(Custom)</t>
  </si>
  <si>
    <t>应用层</t>
  </si>
  <si>
    <t>SC_</t>
  </si>
  <si>
    <t>System Constant,系统常量</t>
  </si>
  <si>
    <t>SAQ_</t>
  </si>
  <si>
    <t>Signal AcQuisition, 信号采集和传递</t>
  </si>
  <si>
    <t>ACI</t>
  </si>
  <si>
    <t>ISP_</t>
  </si>
  <si>
    <t>Input Signal Process,输入信号处理</t>
  </si>
  <si>
    <t>ISC</t>
  </si>
  <si>
    <t>SSM_</t>
  </si>
  <si>
    <t>System State Management,系统状态管理</t>
  </si>
  <si>
    <t>SYM</t>
  </si>
  <si>
    <t>PMC_</t>
  </si>
  <si>
    <t>Pmsm Motor Control,永磁同步电机控制</t>
  </si>
  <si>
    <t>MCT</t>
  </si>
  <si>
    <t>SVM_</t>
  </si>
  <si>
    <t>Space Vector PWM Modulation,空间矢量调制</t>
  </si>
  <si>
    <t>OSC</t>
  </si>
  <si>
    <t>TLC_</t>
  </si>
  <si>
    <t>Torque Limit Calculation,扭矩限制</t>
  </si>
  <si>
    <t>TQL</t>
  </si>
  <si>
    <t>TCC_</t>
  </si>
  <si>
    <t>Torque Coordinate Control,扭矩协调控制</t>
  </si>
  <si>
    <t>TDC</t>
  </si>
  <si>
    <t>OSP_</t>
  </si>
  <si>
    <t>Onput Signal Process,输出信号处理</t>
  </si>
  <si>
    <t>CDD层</t>
  </si>
  <si>
    <t>HwMgr</t>
  </si>
  <si>
    <t>Hardware Mangement,硬件管理</t>
  </si>
  <si>
    <t>PhaCur</t>
  </si>
  <si>
    <t>Phase current,相电流模块</t>
  </si>
  <si>
    <t>Rslvr</t>
  </si>
  <si>
    <t>Resolver，旋变模块</t>
  </si>
  <si>
    <t>Space Vector pulse width Modulation,空间矢量调制输出和回采</t>
  </si>
  <si>
    <t>FunMon</t>
  </si>
  <si>
    <t>Function monitoring,功能监控</t>
  </si>
  <si>
    <t>HwMon</t>
  </si>
  <si>
    <t>Hardware Monitoring,硬件监控</t>
  </si>
  <si>
    <t>菲仕</t>
  </si>
  <si>
    <t>Vdc</t>
  </si>
  <si>
    <t>转速</t>
  </si>
  <si>
    <t>PMC_psiMax</t>
  </si>
  <si>
    <t>Psi/w,Trq</t>
  </si>
</sst>
</file>

<file path=xl/styles.xml><?xml version="1.0" encoding="utf-8"?>
<styleSheet xmlns="http://schemas.openxmlformats.org/spreadsheetml/2006/main">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30">
    <font>
      <sz val="11"/>
      <color theme="1"/>
      <name val="宋体"/>
      <charset val="134"/>
      <scheme val="minor"/>
    </font>
    <font>
      <b/>
      <i/>
      <sz val="9"/>
      <color theme="1"/>
      <name val="Arial"/>
      <charset val="134"/>
    </font>
    <font>
      <i/>
      <sz val="9"/>
      <color theme="1"/>
      <name val="Arial"/>
      <charset val="134"/>
    </font>
    <font>
      <sz val="11"/>
      <color rgb="FFFF0000"/>
      <name val="宋体"/>
      <charset val="134"/>
      <scheme val="minor"/>
    </font>
    <font>
      <i/>
      <sz val="9"/>
      <color rgb="FFFF0000"/>
      <name val="Arial"/>
      <charset val="134"/>
    </font>
    <font>
      <sz val="9"/>
      <color theme="1"/>
      <name val="Arial"/>
      <charset val="134"/>
    </font>
    <font>
      <b/>
      <sz val="11"/>
      <color theme="1"/>
      <name val="宋体"/>
      <charset val="134"/>
      <scheme val="minor"/>
    </font>
    <font>
      <sz val="11"/>
      <name val="宋体"/>
      <charset val="134"/>
      <scheme val="minor"/>
    </font>
    <font>
      <sz val="11"/>
      <color theme="1"/>
      <name val="宋体"/>
      <charset val="0"/>
      <scheme val="minor"/>
    </font>
    <font>
      <sz val="11"/>
      <color rgb="FF3F3F76"/>
      <name val="宋体"/>
      <charset val="0"/>
      <scheme val="minor"/>
    </font>
    <font>
      <sz val="11"/>
      <color rgb="FF9C0006"/>
      <name val="宋体"/>
      <charset val="0"/>
      <scheme val="minor"/>
    </font>
    <font>
      <sz val="11"/>
      <color theme="0"/>
      <name val="宋体"/>
      <charset val="0"/>
      <scheme val="minor"/>
    </font>
    <font>
      <u/>
      <sz val="11"/>
      <color rgb="FF0000FF"/>
      <name val="宋体"/>
      <charset val="0"/>
      <scheme val="minor"/>
    </font>
    <font>
      <u/>
      <sz val="11"/>
      <color rgb="FF800080"/>
      <name val="宋体"/>
      <charset val="0"/>
      <scheme val="minor"/>
    </font>
    <font>
      <b/>
      <sz val="11"/>
      <color theme="3"/>
      <name val="宋体"/>
      <charset val="134"/>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6500"/>
      <name val="宋体"/>
      <charset val="0"/>
      <scheme val="minor"/>
    </font>
    <font>
      <u/>
      <sz val="11"/>
      <color theme="10"/>
      <name val="宋体"/>
      <charset val="134"/>
      <scheme val="minor"/>
    </font>
    <font>
      <b/>
      <sz val="9"/>
      <name val="宋体"/>
      <charset val="134"/>
    </font>
    <font>
      <sz val="9"/>
      <name val="宋体"/>
      <charset val="134"/>
    </font>
  </fonts>
  <fills count="35">
    <fill>
      <patternFill patternType="none"/>
    </fill>
    <fill>
      <patternFill patternType="gray125"/>
    </fill>
    <fill>
      <patternFill patternType="solid">
        <fgColor rgb="FFFFFF00"/>
        <bgColor indexed="64"/>
      </patternFill>
    </fill>
    <fill>
      <patternFill patternType="solid">
        <fgColor theme="0"/>
        <bgColor indexed="64"/>
      </patternFill>
    </fill>
    <fill>
      <patternFill patternType="solid">
        <fgColor theme="6" tint="0.799981688894314"/>
        <bgColor indexed="64"/>
      </patternFill>
    </fill>
    <fill>
      <patternFill patternType="solid">
        <fgColor rgb="FFFFCC99"/>
        <bgColor indexed="64"/>
      </patternFill>
    </fill>
    <fill>
      <patternFill patternType="solid">
        <fgColor theme="6" tint="0.599993896298105"/>
        <bgColor indexed="64"/>
      </patternFill>
    </fill>
    <fill>
      <patternFill patternType="solid">
        <fgColor rgb="FFFFC7CE"/>
        <bgColor indexed="64"/>
      </patternFill>
    </fill>
    <fill>
      <patternFill patternType="solid">
        <fgColor theme="6" tint="0.399975585192419"/>
        <bgColor indexed="64"/>
      </patternFill>
    </fill>
    <fill>
      <patternFill patternType="solid">
        <fgColor rgb="FFFFFFCC"/>
        <bgColor indexed="64"/>
      </patternFill>
    </fill>
    <fill>
      <patternFill patternType="solid">
        <fgColor theme="5" tint="0.399975585192419"/>
        <bgColor indexed="64"/>
      </patternFill>
    </fill>
    <fill>
      <patternFill patternType="solid">
        <fgColor theme="4" tint="0.399975585192419"/>
        <bgColor indexed="64"/>
      </patternFill>
    </fill>
    <fill>
      <patternFill patternType="solid">
        <fgColor theme="7" tint="0.399975585192419"/>
        <bgColor indexed="64"/>
      </patternFill>
    </fill>
    <fill>
      <patternFill patternType="solid">
        <fgColor rgb="FFF2F2F2"/>
        <bgColor indexed="64"/>
      </patternFill>
    </fill>
    <fill>
      <patternFill patternType="solid">
        <fgColor rgb="FFA5A5A5"/>
        <bgColor indexed="64"/>
      </patternFill>
    </fill>
    <fill>
      <patternFill patternType="solid">
        <fgColor theme="9" tint="0.799981688894314"/>
        <bgColor indexed="64"/>
      </patternFill>
    </fill>
    <fill>
      <patternFill patternType="solid">
        <fgColor theme="5"/>
        <bgColor indexed="64"/>
      </patternFill>
    </fill>
    <fill>
      <patternFill patternType="solid">
        <fgColor rgb="FFC6EFCE"/>
        <bgColor indexed="64"/>
      </patternFill>
    </fill>
    <fill>
      <patternFill patternType="solid">
        <fgColor rgb="FFFFEB9C"/>
        <bgColor indexed="64"/>
      </patternFill>
    </fill>
    <fill>
      <patternFill patternType="solid">
        <fgColor theme="8" tint="0.799981688894314"/>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6"/>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8"/>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7F7F7F"/>
      </left>
      <right style="thin">
        <color rgb="FF7F7F7F"/>
      </right>
      <top style="thin">
        <color rgb="FF7F7F7F"/>
      </top>
      <bottom style="thin">
        <color rgb="FF7F7F7F"/>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51">
    <xf numFmtId="0" fontId="0" fillId="0" borderId="0"/>
    <xf numFmtId="42" fontId="0" fillId="0" borderId="0" applyFont="0" applyFill="0" applyBorder="0" applyAlignment="0" applyProtection="0">
      <alignment vertical="center"/>
    </xf>
    <xf numFmtId="0" fontId="8" fillId="4" borderId="0" applyNumberFormat="0" applyBorder="0" applyAlignment="0" applyProtection="0">
      <alignment vertical="center"/>
    </xf>
    <xf numFmtId="0" fontId="9" fillId="5" borderId="1" applyNumberFormat="0" applyAlignment="0" applyProtection="0">
      <alignment vertical="center"/>
    </xf>
    <xf numFmtId="44" fontId="0" fillId="0" borderId="0" applyFont="0" applyFill="0" applyBorder="0" applyAlignment="0" applyProtection="0">
      <alignment vertical="center"/>
    </xf>
    <xf numFmtId="41" fontId="0" fillId="0" borderId="0" applyFont="0" applyFill="0" applyBorder="0" applyAlignment="0" applyProtection="0">
      <alignment vertical="center"/>
    </xf>
    <xf numFmtId="0" fontId="8" fillId="6" borderId="0" applyNumberFormat="0" applyBorder="0" applyAlignment="0" applyProtection="0">
      <alignment vertical="center"/>
    </xf>
    <xf numFmtId="0" fontId="10" fillId="7" borderId="0" applyNumberFormat="0" applyBorder="0" applyAlignment="0" applyProtection="0">
      <alignment vertical="center"/>
    </xf>
    <xf numFmtId="43" fontId="0" fillId="0" borderId="0" applyFont="0" applyFill="0" applyBorder="0" applyAlignment="0" applyProtection="0">
      <alignment vertical="center"/>
    </xf>
    <xf numFmtId="0" fontId="11" fillId="8" borderId="0" applyNumberFormat="0" applyBorder="0" applyAlignment="0" applyProtection="0">
      <alignment vertical="center"/>
    </xf>
    <xf numFmtId="0" fontId="12" fillId="0" borderId="0" applyNumberFormat="0" applyFill="0" applyBorder="0" applyAlignment="0" applyProtection="0">
      <alignment vertical="center"/>
    </xf>
    <xf numFmtId="9" fontId="0" fillId="0" borderId="0" applyFont="0" applyFill="0" applyBorder="0" applyAlignment="0" applyProtection="0">
      <alignment vertical="center"/>
    </xf>
    <xf numFmtId="0" fontId="13" fillId="0" borderId="0" applyNumberFormat="0" applyFill="0" applyBorder="0" applyAlignment="0" applyProtection="0">
      <alignment vertical="center"/>
    </xf>
    <xf numFmtId="0" fontId="0" fillId="9" borderId="2" applyNumberFormat="0" applyFont="0" applyAlignment="0" applyProtection="0">
      <alignment vertical="center"/>
    </xf>
    <xf numFmtId="0" fontId="11" fillId="10" borderId="0" applyNumberFormat="0" applyBorder="0" applyAlignment="0" applyProtection="0">
      <alignment vertical="center"/>
    </xf>
    <xf numFmtId="0" fontId="14" fillId="0" borderId="0" applyNumberFormat="0" applyFill="0" applyBorder="0" applyAlignment="0" applyProtection="0">
      <alignment vertical="center"/>
    </xf>
    <xf numFmtId="0" fontId="15" fillId="0" borderId="0" applyNumberFormat="0" applyFill="0" applyBorder="0" applyAlignment="0" applyProtection="0">
      <alignment vertical="center"/>
    </xf>
    <xf numFmtId="0" fontId="16" fillId="0" borderId="0" applyNumberFormat="0" applyFill="0" applyBorder="0" applyAlignment="0" applyProtection="0">
      <alignment vertical="center"/>
    </xf>
    <xf numFmtId="0" fontId="17" fillId="0" borderId="0" applyNumberFormat="0" applyFill="0" applyBorder="0" applyAlignment="0" applyProtection="0">
      <alignment vertical="center"/>
    </xf>
    <xf numFmtId="0" fontId="18" fillId="0" borderId="3" applyNumberFormat="0" applyFill="0" applyAlignment="0" applyProtection="0">
      <alignment vertical="center"/>
    </xf>
    <xf numFmtId="0" fontId="19" fillId="0" borderId="3" applyNumberFormat="0" applyFill="0" applyAlignment="0" applyProtection="0">
      <alignment vertical="center"/>
    </xf>
    <xf numFmtId="0" fontId="11" fillId="11" borderId="0" applyNumberFormat="0" applyBorder="0" applyAlignment="0" applyProtection="0">
      <alignment vertical="center"/>
    </xf>
    <xf numFmtId="0" fontId="14" fillId="0" borderId="4" applyNumberFormat="0" applyFill="0" applyAlignment="0" applyProtection="0">
      <alignment vertical="center"/>
    </xf>
    <xf numFmtId="0" fontId="11" fillId="12" borderId="0" applyNumberFormat="0" applyBorder="0" applyAlignment="0" applyProtection="0">
      <alignment vertical="center"/>
    </xf>
    <xf numFmtId="0" fontId="20" fillId="13" borderId="5" applyNumberFormat="0" applyAlignment="0" applyProtection="0">
      <alignment vertical="center"/>
    </xf>
    <xf numFmtId="0" fontId="21" fillId="13" borderId="1" applyNumberFormat="0" applyAlignment="0" applyProtection="0">
      <alignment vertical="center"/>
    </xf>
    <xf numFmtId="0" fontId="22" fillId="14" borderId="6" applyNumberFormat="0" applyAlignment="0" applyProtection="0">
      <alignment vertical="center"/>
    </xf>
    <xf numFmtId="0" fontId="8" fillId="15" borderId="0" applyNumberFormat="0" applyBorder="0" applyAlignment="0" applyProtection="0">
      <alignment vertical="center"/>
    </xf>
    <xf numFmtId="0" fontId="11" fillId="16" borderId="0" applyNumberFormat="0" applyBorder="0" applyAlignment="0" applyProtection="0">
      <alignment vertical="center"/>
    </xf>
    <xf numFmtId="0" fontId="23" fillId="0" borderId="7" applyNumberFormat="0" applyFill="0" applyAlignment="0" applyProtection="0">
      <alignment vertical="center"/>
    </xf>
    <xf numFmtId="0" fontId="24" fillId="0" borderId="8" applyNumberFormat="0" applyFill="0" applyAlignment="0" applyProtection="0">
      <alignment vertical="center"/>
    </xf>
    <xf numFmtId="0" fontId="25" fillId="17" borderId="0" applyNumberFormat="0" applyBorder="0" applyAlignment="0" applyProtection="0">
      <alignment vertical="center"/>
    </xf>
    <xf numFmtId="0" fontId="26" fillId="18" borderId="0" applyNumberFormat="0" applyBorder="0" applyAlignment="0" applyProtection="0">
      <alignment vertical="center"/>
    </xf>
    <xf numFmtId="0" fontId="8" fillId="19" borderId="0" applyNumberFormat="0" applyBorder="0" applyAlignment="0" applyProtection="0">
      <alignment vertical="center"/>
    </xf>
    <xf numFmtId="0" fontId="11" fillId="20" borderId="0" applyNumberFormat="0" applyBorder="0" applyAlignment="0" applyProtection="0">
      <alignment vertical="center"/>
    </xf>
    <xf numFmtId="0" fontId="8" fillId="21" borderId="0" applyNumberFormat="0" applyBorder="0" applyAlignment="0" applyProtection="0">
      <alignment vertical="center"/>
    </xf>
    <xf numFmtId="0" fontId="8" fillId="22" borderId="0" applyNumberFormat="0" applyBorder="0" applyAlignment="0" applyProtection="0">
      <alignment vertical="center"/>
    </xf>
    <xf numFmtId="0" fontId="8" fillId="23" borderId="0" applyNumberFormat="0" applyBorder="0" applyAlignment="0" applyProtection="0">
      <alignment vertical="center"/>
    </xf>
    <xf numFmtId="0" fontId="8" fillId="24" borderId="0" applyNumberFormat="0" applyBorder="0" applyAlignment="0" applyProtection="0">
      <alignment vertical="center"/>
    </xf>
    <xf numFmtId="0" fontId="11" fillId="25" borderId="0" applyNumberFormat="0" applyBorder="0" applyAlignment="0" applyProtection="0">
      <alignment vertical="center"/>
    </xf>
    <xf numFmtId="0" fontId="11" fillId="26" borderId="0" applyNumberFormat="0" applyBorder="0" applyAlignment="0" applyProtection="0">
      <alignment vertical="center"/>
    </xf>
    <xf numFmtId="0" fontId="8" fillId="27" borderId="0" applyNumberFormat="0" applyBorder="0" applyAlignment="0" applyProtection="0">
      <alignment vertical="center"/>
    </xf>
    <xf numFmtId="0" fontId="8" fillId="28" borderId="0" applyNumberFormat="0" applyBorder="0" applyAlignment="0" applyProtection="0">
      <alignment vertical="center"/>
    </xf>
    <xf numFmtId="0" fontId="11" fillId="29" borderId="0" applyNumberFormat="0" applyBorder="0" applyAlignment="0" applyProtection="0">
      <alignment vertical="center"/>
    </xf>
    <xf numFmtId="0" fontId="8" fillId="30" borderId="0" applyNumberFormat="0" applyBorder="0" applyAlignment="0" applyProtection="0">
      <alignment vertical="center"/>
    </xf>
    <xf numFmtId="0" fontId="11" fillId="31" borderId="0" applyNumberFormat="0" applyBorder="0" applyAlignment="0" applyProtection="0">
      <alignment vertical="center"/>
    </xf>
    <xf numFmtId="0" fontId="11" fillId="32" borderId="0" applyNumberFormat="0" applyBorder="0" applyAlignment="0" applyProtection="0">
      <alignment vertical="center"/>
    </xf>
    <xf numFmtId="0" fontId="8" fillId="33" borderId="0" applyNumberFormat="0" applyBorder="0" applyAlignment="0" applyProtection="0">
      <alignment vertical="center"/>
    </xf>
    <xf numFmtId="0" fontId="11" fillId="34" borderId="0" applyNumberFormat="0" applyBorder="0" applyAlignment="0" applyProtection="0">
      <alignment vertical="center"/>
    </xf>
    <xf numFmtId="0" fontId="0" fillId="0" borderId="0"/>
    <xf numFmtId="0" fontId="27" fillId="0" borderId="0" applyNumberFormat="0" applyFill="0" applyBorder="0" applyAlignment="0" applyProtection="0"/>
  </cellStyleXfs>
  <cellXfs count="31">
    <xf numFmtId="0" fontId="0" fillId="0" borderId="0" xfId="0"/>
    <xf numFmtId="0" fontId="0" fillId="0" borderId="0" xfId="0" applyAlignment="1">
      <alignment horizontal="center"/>
    </xf>
    <xf numFmtId="0" fontId="0" fillId="0" borderId="0" xfId="49"/>
    <xf numFmtId="0" fontId="1" fillId="0" borderId="0" xfId="0" applyFont="1"/>
    <xf numFmtId="0" fontId="1" fillId="0" borderId="0" xfId="0" applyFont="1" applyAlignment="1">
      <alignment horizontal="center"/>
    </xf>
    <xf numFmtId="0" fontId="1" fillId="0" borderId="0" xfId="0" applyFont="1" applyAlignment="1">
      <alignment horizontal="left"/>
    </xf>
    <xf numFmtId="0" fontId="2" fillId="0" borderId="0" xfId="0" applyFont="1" applyAlignment="1">
      <alignment horizontal="left"/>
    </xf>
    <xf numFmtId="0" fontId="3" fillId="0" borderId="0" xfId="0" applyFont="1" applyAlignment="1">
      <alignment horizontal="left"/>
    </xf>
    <xf numFmtId="0" fontId="0" fillId="0" borderId="0" xfId="0" applyAlignment="1">
      <alignment horizontal="left"/>
    </xf>
    <xf numFmtId="0" fontId="4" fillId="0" borderId="0" xfId="0" applyFont="1" applyAlignment="1">
      <alignment horizontal="left"/>
    </xf>
    <xf numFmtId="0" fontId="2" fillId="2" borderId="0" xfId="0" applyFont="1" applyFill="1" applyAlignment="1">
      <alignment horizontal="center"/>
    </xf>
    <xf numFmtId="0" fontId="2" fillId="0" borderId="0" xfId="0" applyFont="1" applyAlignment="1">
      <alignment horizontal="center"/>
    </xf>
    <xf numFmtId="0" fontId="2" fillId="0" borderId="0" xfId="0" applyNumberFormat="1" applyFont="1" applyAlignment="1">
      <alignment horizontal="left"/>
    </xf>
    <xf numFmtId="0" fontId="2" fillId="0" borderId="0" xfId="0" applyNumberFormat="1" applyFont="1" applyAlignment="1">
      <alignment horizontal="center"/>
    </xf>
    <xf numFmtId="0" fontId="2" fillId="0" borderId="0" xfId="0" applyFont="1" applyAlignment="1" applyProtection="1">
      <alignment horizontal="left"/>
    </xf>
    <xf numFmtId="0" fontId="2" fillId="2" borderId="0" xfId="0" applyFont="1" applyFill="1" applyAlignment="1">
      <alignment horizontal="left"/>
    </xf>
    <xf numFmtId="0" fontId="4" fillId="0" borderId="0" xfId="0" applyFont="1" applyAlignment="1">
      <alignment horizontal="center"/>
    </xf>
    <xf numFmtId="0" fontId="2" fillId="3" borderId="0" xfId="0" applyFont="1" applyFill="1" applyAlignment="1">
      <alignment horizontal="center"/>
    </xf>
    <xf numFmtId="0" fontId="2" fillId="0" borderId="0" xfId="0" applyFont="1" applyAlignment="1">
      <alignment horizontal="center" wrapText="1"/>
    </xf>
    <xf numFmtId="0" fontId="5" fillId="0" borderId="0" xfId="0" applyFont="1"/>
    <xf numFmtId="0" fontId="5" fillId="0" borderId="0" xfId="0" applyFont="1" applyAlignment="1">
      <alignment horizontal="center" wrapText="1"/>
    </xf>
    <xf numFmtId="0" fontId="5" fillId="3" borderId="0" xfId="0" applyFont="1" applyFill="1"/>
    <xf numFmtId="0" fontId="5" fillId="0" borderId="0" xfId="0" applyFont="1" applyFill="1"/>
    <xf numFmtId="11" fontId="2" fillId="0" borderId="0" xfId="0" applyNumberFormat="1" applyFont="1" applyAlignment="1">
      <alignment horizontal="center"/>
    </xf>
    <xf numFmtId="0" fontId="2" fillId="0" borderId="0" xfId="0" applyFont="1" applyAlignment="1"/>
    <xf numFmtId="0" fontId="1" fillId="0" borderId="0" xfId="0" applyNumberFormat="1" applyFont="1" applyAlignment="1">
      <alignment horizontal="center"/>
    </xf>
    <xf numFmtId="0" fontId="6" fillId="0" borderId="0" xfId="0" applyFont="1"/>
    <xf numFmtId="0" fontId="3" fillId="0" borderId="0" xfId="0" applyFont="1"/>
    <xf numFmtId="0" fontId="7" fillId="0" borderId="0" xfId="0" applyFont="1"/>
    <xf numFmtId="0" fontId="0" fillId="0" borderId="0" xfId="0" applyFont="1" applyAlignment="1">
      <alignment horizontal="left"/>
    </xf>
    <xf numFmtId="0" fontId="0" fillId="0" borderId="0" xfId="0" applyFont="1"/>
    <xf numFmtId="0" fontId="2" fillId="0" borderId="0" xfId="0" applyFont="1" applyAlignment="1" quotePrefix="1">
      <alignment horizontal="center"/>
    </xf>
  </cellXfs>
  <cellStyles count="51">
    <cellStyle name="常规" xfId="0" builtinId="0"/>
    <cellStyle name="货币[0]" xfId="1" builtinId="7"/>
    <cellStyle name="20% - 强调文字颜色 3" xfId="2" builtinId="38"/>
    <cellStyle name="输入" xfId="3" builtinId="20"/>
    <cellStyle name="货币" xfId="4" builtinId="4"/>
    <cellStyle name="千位分隔[0]" xfId="5" builtinId="6"/>
    <cellStyle name="40% - 强调文字颜色 3" xfId="6" builtinId="39"/>
    <cellStyle name="差" xfId="7" builtinId="27"/>
    <cellStyle name="千位分隔" xfId="8" builtinId="3"/>
    <cellStyle name="60% - 强调文字颜色 3" xfId="9" builtinId="40"/>
    <cellStyle name="超链接" xfId="10" builtinId="8"/>
    <cellStyle name="百分比" xfId="11" builtinId="5"/>
    <cellStyle name="已访问的超链接" xfId="12" builtinId="9"/>
    <cellStyle name="注释" xfId="13" builtinId="10"/>
    <cellStyle name="60% - 强调文字颜色 2" xfId="14" builtinId="36"/>
    <cellStyle name="标题 4" xfId="15" builtinId="19"/>
    <cellStyle name="警告文本" xfId="16" builtinId="11"/>
    <cellStyle name="标题" xfId="17" builtinId="15"/>
    <cellStyle name="解释性文本" xfId="18" builtinId="53"/>
    <cellStyle name="标题 1" xfId="19" builtinId="16"/>
    <cellStyle name="标题 2" xfId="20" builtinId="17"/>
    <cellStyle name="60% - 强调文字颜色 1" xfId="21" builtinId="32"/>
    <cellStyle name="标题 3" xfId="22" builtinId="18"/>
    <cellStyle name="60% - 强调文字颜色 4" xfId="23" builtinId="44"/>
    <cellStyle name="输出" xfId="24" builtinId="21"/>
    <cellStyle name="计算" xfId="25" builtinId="22"/>
    <cellStyle name="检查单元格" xfId="26" builtinId="23"/>
    <cellStyle name="20% - 强调文字颜色 6" xfId="27" builtinId="50"/>
    <cellStyle name="强调文字颜色 2" xfId="28" builtinId="33"/>
    <cellStyle name="链接单元格" xfId="29" builtinId="24"/>
    <cellStyle name="汇总" xfId="30" builtinId="25"/>
    <cellStyle name="好" xfId="31" builtinId="26"/>
    <cellStyle name="适中" xfId="32" builtinId="28"/>
    <cellStyle name="20% - 强调文字颜色 5" xfId="33" builtinId="46"/>
    <cellStyle name="强调文字颜色 1" xfId="34" builtinId="29"/>
    <cellStyle name="20% - 强调文字颜色 1" xfId="35" builtinId="30"/>
    <cellStyle name="40% - 强调文字颜色 1" xfId="36" builtinId="31"/>
    <cellStyle name="20% - 强调文字颜色 2" xfId="37" builtinId="34"/>
    <cellStyle name="40% - 强调文字颜色 2" xfId="38" builtinId="35"/>
    <cellStyle name="强调文字颜色 3" xfId="39" builtinId="37"/>
    <cellStyle name="强调文字颜色 4" xfId="40" builtinId="41"/>
    <cellStyle name="20% - 强调文字颜色 4" xfId="41" builtinId="42"/>
    <cellStyle name="40% - 强调文字颜色 4" xfId="42" builtinId="43"/>
    <cellStyle name="强调文字颜色 5" xfId="43" builtinId="45"/>
    <cellStyle name="40% - 强调文字颜色 5" xfId="44" builtinId="47"/>
    <cellStyle name="60% - 强调文字颜色 5" xfId="45" builtinId="48"/>
    <cellStyle name="强调文字颜色 6" xfId="46" builtinId="49"/>
    <cellStyle name="40% - 强调文字颜色 6" xfId="47" builtinId="51"/>
    <cellStyle name="60% - 强调文字颜色 6" xfId="48" builtinId="52"/>
    <cellStyle name="常规 2" xfId="49"/>
    <cellStyle name="超链接 2" xfId="50"/>
  </cellStyles>
  <tableStyles count="0" defaultTableStyle="TableStyleMedium2" defaultPivotStyle="PivotStyleMedium9"/>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9" Type="http://schemas.openxmlformats.org/officeDocument/2006/relationships/worksheet" Target="worksheets/sheet9.xml"/><Relationship Id="rId8" Type="http://schemas.openxmlformats.org/officeDocument/2006/relationships/worksheet" Target="worksheets/sheet8.xml"/><Relationship Id="rId7" Type="http://schemas.openxmlformats.org/officeDocument/2006/relationships/worksheet" Target="worksheets/sheet7.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3" Type="http://schemas.openxmlformats.org/officeDocument/2006/relationships/worksheet" Target="worksheets/sheet3.xml"/><Relationship Id="rId2" Type="http://schemas.openxmlformats.org/officeDocument/2006/relationships/worksheet" Target="worksheets/sheet2.xml"/><Relationship Id="rId16" Type="http://schemas.openxmlformats.org/officeDocument/2006/relationships/sharedStrings" Target="sharedStrings.xml"/><Relationship Id="rId15" Type="http://schemas.openxmlformats.org/officeDocument/2006/relationships/styles" Target="styles.xml"/><Relationship Id="rId14" Type="http://schemas.openxmlformats.org/officeDocument/2006/relationships/theme" Target="theme/theme1.xml"/><Relationship Id="rId13" Type="http://schemas.openxmlformats.org/officeDocument/2006/relationships/externalLink" Target="externalLinks/externalLink2.xml"/><Relationship Id="rId12" Type="http://schemas.openxmlformats.org/officeDocument/2006/relationships/externalLink" Target="externalLinks/externalLink1.xml"/><Relationship Id="rId11" Type="http://schemas.openxmlformats.org/officeDocument/2006/relationships/worksheet" Target="worksheets/sheet11.xml"/><Relationship Id="rId10" Type="http://schemas.openxmlformats.org/officeDocument/2006/relationships/worksheet" Target="worksheets/sheet10.xml"/><Relationship Id="rId1" Type="http://schemas.openxmlformats.org/officeDocument/2006/relationships/worksheet" Target="worksheets/sheet1.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Users\xingchun.zhang\Desktop\ParameterGenerator_pl.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Users\zhang\Desktop\ParameterGenerator1.xlsx" TargetMode="External"/></Relationships>
</file>

<file path=xl/externalLinks/externalLink1.xml><?xml version="1.0" encoding="utf-8"?>
<externalLink xmlns="http://schemas.openxmlformats.org/spreadsheetml/2006/main">
  <externalBook xmlns:r="http://schemas.openxmlformats.org/officeDocument/2006/relationships" r:id="rId1">
    <sheetNames>
      <sheetName val="Overview"/>
      <sheetName val="DataTypeDefinition"/>
      <sheetName val="ParameterDefinition"/>
      <sheetName val="TableDefinition"/>
      <sheetName val="SignalDefinition"/>
      <sheetName val="BusDefinition"/>
      <sheetName val="Comment"/>
      <sheetName val="ModuleDefination"/>
      <sheetName val="TableProcess"/>
      <sheetName val="Sheet1"/>
    </sheetNames>
    <sheetDataSet>
      <sheetData sheetId="0"/>
      <sheetData sheetId="1"/>
      <sheetData sheetId="2"/>
      <sheetData sheetId="3"/>
      <sheetData sheetId="4"/>
      <sheetData sheetId="5"/>
      <sheetData sheetId="6"/>
      <sheetData sheetId="7"/>
      <sheetData sheetId="8"/>
      <sheetData sheetId="9"/>
    </sheetDataSet>
  </externalBook>
</externalLink>
</file>

<file path=xl/externalLinks/externalLink2.xml><?xml version="1.0" encoding="utf-8"?>
<externalLink xmlns="http://schemas.openxmlformats.org/spreadsheetml/2006/main">
  <externalBook xmlns:r="http://schemas.openxmlformats.org/officeDocument/2006/relationships" r:id="rId1">
    <sheetNames>
      <sheetName val="Overview"/>
      <sheetName val="DataTypeDefinition"/>
      <sheetName val="ParameterDefinition"/>
      <sheetName val="TableDefinition"/>
      <sheetName val="SignalDefinition"/>
      <sheetName val="BusDefinition"/>
      <sheetName val="Comment"/>
      <sheetName val="ModuleDefination"/>
      <sheetName val="TableProcess"/>
      <sheetName val="Sheet1"/>
    </sheetNames>
    <sheetDataSet>
      <sheetData sheetId="0"/>
      <sheetData sheetId="1"/>
      <sheetData sheetId="2"/>
      <sheetData sheetId="3"/>
      <sheetData sheetId="4"/>
      <sheetData sheetId="5"/>
      <sheetData sheetId="6"/>
      <sheetData sheetId="7"/>
      <sheetData sheetId="8"/>
      <sheetData sheetId="9"/>
    </sheetDataSet>
  </externalBook>
</externalLink>
</file>

<file path=xl/theme/theme1.xml><?xml version="1.0" encoding="utf-8"?>
<a:theme xmlns:a="http://schemas.openxmlformats.org/drawingml/2006/main" name="Office 主题​​">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_rels/sheet3.xml.rels><?xml version="1.0" encoding="UTF-8" standalone="yes"?>
<Relationships xmlns="http://schemas.openxmlformats.org/package/2006/relationships"><Relationship Id="rId2" Type="http://schemas.openxmlformats.org/officeDocument/2006/relationships/vmlDrawing" Target="../drawings/vmlDrawing1.vml"/><Relationship Id="rId1" Type="http://schemas.openxmlformats.org/officeDocument/2006/relationships/comments" Target="../comments1.xml"/></Relationships>
</file>

<file path=xl/worksheets/_rels/sheet5.xml.rels><?xml version="1.0" encoding="UTF-8" standalone="yes"?>
<Relationships xmlns="http://schemas.openxmlformats.org/package/2006/relationships"><Relationship Id="rId2" Type="http://schemas.openxmlformats.org/officeDocument/2006/relationships/vmlDrawing" Target="../drawings/vmlDrawing2.vml"/><Relationship Id="rId1" Type="http://schemas.openxmlformats.org/officeDocument/2006/relationships/comments" Target="../comments2.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G27"/>
  <sheetViews>
    <sheetView workbookViewId="0">
      <selection activeCell="G21" sqref="G21"/>
    </sheetView>
  </sheetViews>
  <sheetFormatPr defaultColWidth="9" defaultRowHeight="14" outlineLevelCol="6"/>
  <cols>
    <col min="1" max="1" width="10.3727272727273"/>
  </cols>
  <sheetData>
    <row r="1" spans="1:1">
      <c r="A1" s="26" t="s">
        <v>0</v>
      </c>
    </row>
    <row r="2" spans="1:1">
      <c r="A2" t="s">
        <v>1</v>
      </c>
    </row>
    <row r="3" spans="1:1">
      <c r="A3" t="s">
        <v>2</v>
      </c>
    </row>
    <row r="4" spans="1:1">
      <c r="A4" t="s">
        <v>3</v>
      </c>
    </row>
    <row r="5" spans="1:1">
      <c r="A5" t="s">
        <v>4</v>
      </c>
    </row>
    <row r="6" spans="1:1">
      <c r="A6" t="s">
        <v>5</v>
      </c>
    </row>
    <row r="7" spans="1:1">
      <c r="A7" t="s">
        <v>6</v>
      </c>
    </row>
    <row r="8" spans="1:1">
      <c r="A8" s="27" t="s">
        <v>7</v>
      </c>
    </row>
    <row r="9" spans="1:1">
      <c r="A9" s="28" t="s">
        <v>8</v>
      </c>
    </row>
    <row r="10" spans="1:1">
      <c r="A10" s="27"/>
    </row>
    <row r="12" spans="1:1">
      <c r="A12" s="26" t="s">
        <v>9</v>
      </c>
    </row>
    <row r="13" spans="1:7">
      <c r="A13" t="s">
        <v>10</v>
      </c>
      <c r="B13" t="s">
        <v>11</v>
      </c>
      <c r="G13" t="s">
        <v>12</v>
      </c>
    </row>
    <row r="14" spans="1:7">
      <c r="A14" t="s">
        <v>13</v>
      </c>
      <c r="B14" s="1" t="s">
        <v>14</v>
      </c>
      <c r="C14" s="1"/>
      <c r="D14" s="1"/>
      <c r="E14" s="1"/>
      <c r="F14" s="1"/>
      <c r="G14" t="s">
        <v>15</v>
      </c>
    </row>
    <row r="15" spans="1:7">
      <c r="A15" s="8">
        <v>20170508</v>
      </c>
      <c r="B15" s="8" t="s">
        <v>16</v>
      </c>
      <c r="C15" s="8"/>
      <c r="D15" s="8"/>
      <c r="E15" s="8"/>
      <c r="F15" s="8"/>
      <c r="G15" t="s">
        <v>17</v>
      </c>
    </row>
    <row r="16" spans="2:6">
      <c r="B16" s="8" t="s">
        <v>18</v>
      </c>
      <c r="C16" s="8"/>
      <c r="D16" s="8"/>
      <c r="E16" s="8"/>
      <c r="F16" s="8"/>
    </row>
    <row r="17" spans="2:6">
      <c r="B17" s="8" t="s">
        <v>19</v>
      </c>
      <c r="C17" s="8"/>
      <c r="D17" s="8"/>
      <c r="E17" s="8"/>
      <c r="F17" s="8"/>
    </row>
    <row r="18" spans="1:6">
      <c r="A18">
        <v>20170516</v>
      </c>
      <c r="B18" s="8" t="s">
        <v>20</v>
      </c>
      <c r="C18" s="8"/>
      <c r="D18" s="8"/>
      <c r="E18" s="8"/>
      <c r="F18" s="8"/>
    </row>
    <row r="19" spans="1:7">
      <c r="A19">
        <v>201803111</v>
      </c>
      <c r="B19" s="8" t="s">
        <v>21</v>
      </c>
      <c r="C19" s="8"/>
      <c r="D19" s="8"/>
      <c r="E19" s="8"/>
      <c r="F19" s="8"/>
      <c r="G19" t="s">
        <v>17</v>
      </c>
    </row>
    <row r="20" spans="1:7">
      <c r="A20">
        <v>20181220</v>
      </c>
      <c r="B20" s="29" t="s">
        <v>22</v>
      </c>
      <c r="C20" s="8"/>
      <c r="D20" s="8"/>
      <c r="E20" s="8"/>
      <c r="F20" s="8"/>
      <c r="G20" s="30" t="s">
        <v>23</v>
      </c>
    </row>
    <row r="21" spans="2:6">
      <c r="B21" s="29" t="s">
        <v>24</v>
      </c>
      <c r="C21" s="8"/>
      <c r="D21" s="8"/>
      <c r="E21" s="8"/>
      <c r="F21" s="8"/>
    </row>
    <row r="22" spans="2:6">
      <c r="B22" s="8"/>
      <c r="C22" s="8"/>
      <c r="D22" s="8"/>
      <c r="E22" s="8"/>
      <c r="F22" s="8"/>
    </row>
    <row r="23" spans="2:6">
      <c r="B23" s="8"/>
      <c r="C23" s="8"/>
      <c r="D23" s="8"/>
      <c r="E23" s="8"/>
      <c r="F23" s="8"/>
    </row>
    <row r="24" spans="2:6">
      <c r="B24" s="8"/>
      <c r="C24" s="8"/>
      <c r="D24" s="8"/>
      <c r="E24" s="8"/>
      <c r="F24" s="8"/>
    </row>
    <row r="25" spans="2:6">
      <c r="B25" s="8"/>
      <c r="C25" s="8"/>
      <c r="D25" s="8"/>
      <c r="E25" s="8"/>
      <c r="F25" s="8"/>
    </row>
    <row r="26" spans="2:6">
      <c r="B26" s="8"/>
      <c r="C26" s="8"/>
      <c r="D26" s="8"/>
      <c r="E26" s="8"/>
      <c r="F26" s="8"/>
    </row>
    <row r="27" spans="2:6">
      <c r="B27" s="8"/>
      <c r="C27" s="8"/>
      <c r="D27" s="8"/>
      <c r="E27" s="8"/>
      <c r="F27" s="8"/>
    </row>
  </sheetData>
  <mergeCells count="14">
    <mergeCell ref="B14:F14"/>
    <mergeCell ref="B15:F15"/>
    <mergeCell ref="B16:F16"/>
    <mergeCell ref="B17:F17"/>
    <mergeCell ref="B18:F18"/>
    <mergeCell ref="B19:F19"/>
    <mergeCell ref="B20:F20"/>
    <mergeCell ref="B21:F21"/>
    <mergeCell ref="B22:F22"/>
    <mergeCell ref="B23:F23"/>
    <mergeCell ref="B24:F24"/>
    <mergeCell ref="B25:F25"/>
    <mergeCell ref="B26:F26"/>
    <mergeCell ref="B27:F27"/>
  </mergeCells>
  <pageMargins left="0.75" right="0.75" top="1" bottom="1" header="0.511805555555556" footer="0.511805555555556"/>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N31"/>
  <sheetViews>
    <sheetView topLeftCell="A5" workbookViewId="0">
      <selection activeCell="C18" sqref="C18"/>
    </sheetView>
  </sheetViews>
  <sheetFormatPr defaultColWidth="9" defaultRowHeight="11.5"/>
  <cols>
    <col min="1" max="1" width="18.6272727272727" style="6" customWidth="1"/>
    <col min="2" max="2" width="10.3727272727273" style="11" customWidth="1"/>
    <col min="3" max="3" width="14.1272727272727" style="6" customWidth="1"/>
    <col min="4" max="4" width="8.75454545454545" style="11" customWidth="1"/>
    <col min="5" max="5" width="6.37272727272727" style="11" customWidth="1"/>
    <col min="6" max="6" width="8.37272727272727" style="11" customWidth="1"/>
    <col min="7" max="7" width="9.87272727272727" style="11" customWidth="1"/>
    <col min="8" max="8" width="12" style="11" customWidth="1"/>
    <col min="9" max="9" width="8.37272727272727" style="13" customWidth="1"/>
    <col min="10" max="10" width="8.12727272727273" style="13" customWidth="1"/>
    <col min="11" max="11" width="8.62727272727273" style="11" customWidth="1"/>
    <col min="12" max="12" width="9" style="11" customWidth="1"/>
    <col min="13" max="13" width="15.2545454545455" style="6" customWidth="1"/>
    <col min="14" max="14" width="33.7545454545455" style="24" customWidth="1"/>
    <col min="15" max="16384" width="9" style="11"/>
  </cols>
  <sheetData>
    <row r="1" s="4" customFormat="1" spans="1:14">
      <c r="A1" s="5" t="s">
        <v>25</v>
      </c>
      <c r="B1" s="4" t="s">
        <v>26</v>
      </c>
      <c r="C1" s="4" t="s">
        <v>27</v>
      </c>
      <c r="D1" s="4" t="s">
        <v>28</v>
      </c>
      <c r="E1" s="4" t="s">
        <v>29</v>
      </c>
      <c r="F1" s="4" t="s">
        <v>30</v>
      </c>
      <c r="G1" s="4" t="s">
        <v>31</v>
      </c>
      <c r="H1" s="4" t="s">
        <v>32</v>
      </c>
      <c r="I1" s="25" t="s">
        <v>33</v>
      </c>
      <c r="J1" s="25" t="s">
        <v>34</v>
      </c>
      <c r="K1" s="4" t="s">
        <v>35</v>
      </c>
      <c r="L1" s="4" t="s">
        <v>11</v>
      </c>
      <c r="M1" s="4" t="s">
        <v>36</v>
      </c>
      <c r="N1" s="4" t="s">
        <v>37</v>
      </c>
    </row>
    <row r="2" spans="1:14">
      <c r="A2" s="19" t="s">
        <v>38</v>
      </c>
      <c r="N2" s="24" t="s">
        <v>39</v>
      </c>
    </row>
    <row r="3" spans="1:14">
      <c r="A3" s="19" t="s">
        <v>40</v>
      </c>
      <c r="N3" s="24" t="s">
        <v>39</v>
      </c>
    </row>
    <row r="4" spans="1:14">
      <c r="A4" s="19" t="s">
        <v>41</v>
      </c>
      <c r="N4" s="24" t="s">
        <v>39</v>
      </c>
    </row>
    <row r="5" spans="1:14">
      <c r="A5" s="19" t="s">
        <v>42</v>
      </c>
      <c r="N5" s="24" t="s">
        <v>39</v>
      </c>
    </row>
    <row r="6" spans="1:14">
      <c r="A6" s="19" t="s">
        <v>43</v>
      </c>
      <c r="N6" s="24" t="s">
        <v>39</v>
      </c>
    </row>
    <row r="7" spans="1:14">
      <c r="A7" s="19" t="s">
        <v>44</v>
      </c>
      <c r="N7" s="24" t="s">
        <v>39</v>
      </c>
    </row>
    <row r="8" spans="1:14">
      <c r="A8" s="19" t="s">
        <v>45</v>
      </c>
      <c r="N8" s="24" t="s">
        <v>39</v>
      </c>
    </row>
    <row r="9" spans="1:14">
      <c r="A9" s="6" t="s">
        <v>46</v>
      </c>
      <c r="N9" s="24" t="s">
        <v>39</v>
      </c>
    </row>
    <row r="10" spans="1:1">
      <c r="A10" s="6" t="s">
        <v>47</v>
      </c>
    </row>
    <row r="11" spans="1:1">
      <c r="A11" s="6" t="s">
        <v>48</v>
      </c>
    </row>
    <row r="12" spans="1:1">
      <c r="A12" s="6" t="s">
        <v>49</v>
      </c>
    </row>
    <row r="13" spans="1:1">
      <c r="A13" s="6" t="s">
        <v>50</v>
      </c>
    </row>
    <row r="14" spans="1:1">
      <c r="A14" s="6" t="s">
        <v>51</v>
      </c>
    </row>
    <row r="15" spans="1:1">
      <c r="A15" s="6" t="s">
        <v>52</v>
      </c>
    </row>
    <row r="16" spans="1:1">
      <c r="A16" s="6" t="s">
        <v>53</v>
      </c>
    </row>
    <row r="17" spans="1:1">
      <c r="A17" s="6" t="s">
        <v>54</v>
      </c>
    </row>
    <row r="18" spans="1:1">
      <c r="A18" s="6" t="s">
        <v>55</v>
      </c>
    </row>
    <row r="19" spans="1:1">
      <c r="A19" s="6" t="s">
        <v>56</v>
      </c>
    </row>
    <row r="20" spans="1:1">
      <c r="A20" s="6" t="s">
        <v>57</v>
      </c>
    </row>
    <row r="21" spans="1:1">
      <c r="A21" s="6" t="s">
        <v>58</v>
      </c>
    </row>
    <row r="22" spans="1:1">
      <c r="A22" s="6" t="s">
        <v>59</v>
      </c>
    </row>
    <row r="23" spans="1:1">
      <c r="A23" s="6" t="s">
        <v>60</v>
      </c>
    </row>
    <row r="24" spans="1:1">
      <c r="A24" s="6" t="s">
        <v>61</v>
      </c>
    </row>
    <row r="25" spans="1:1">
      <c r="A25" s="6" t="s">
        <v>62</v>
      </c>
    </row>
    <row r="26" spans="1:1">
      <c r="A26" s="6" t="s">
        <v>63</v>
      </c>
    </row>
    <row r="27" spans="1:1">
      <c r="A27" s="6" t="s">
        <v>64</v>
      </c>
    </row>
    <row r="28" spans="1:1">
      <c r="A28" s="6" t="s">
        <v>65</v>
      </c>
    </row>
    <row r="29" spans="1:1">
      <c r="A29" s="6" t="s">
        <v>66</v>
      </c>
    </row>
    <row r="30" spans="1:1">
      <c r="A30" s="6" t="s">
        <v>67</v>
      </c>
    </row>
    <row r="31" spans="1:1">
      <c r="A31" s="6" t="s">
        <v>68</v>
      </c>
    </row>
  </sheetData>
  <dataValidations count="6">
    <dataValidation type="list" allowBlank="1" showInputMessage="1" showErrorMessage="1" sqref="B$1:B$1048576">
      <formula1>Comment!$B$4</formula1>
    </dataValidation>
    <dataValidation type="list" allowBlank="1" showInputMessage="1" showErrorMessage="1" sqref="C$1:C$1048576">
      <formula1>Comment!$C$4</formula1>
    </dataValidation>
    <dataValidation type="list" allowBlank="1" showInputMessage="1" showErrorMessage="1" sqref="G$1:G$1048576">
      <formula1>Comment!$G$4:$G$6</formula1>
    </dataValidation>
    <dataValidation type="list" allowBlank="1" showInputMessage="1" showErrorMessage="1" sqref="D$1:D$1048576">
      <formula1>Comment!$D$4:$D$5</formula1>
    </dataValidation>
    <dataValidation type="list" allowBlank="1" showInputMessage="1" showErrorMessage="1" sqref="E$1:E$1048576">
      <formula1>Comment!$E$4:$E$5</formula1>
    </dataValidation>
    <dataValidation type="list" allowBlank="1" showInputMessage="1" showErrorMessage="1" sqref="F$1:F$1048576">
      <formula1>Comment!$F$4:$F$6</formula1>
    </dataValidation>
  </dataValidations>
  <pageMargins left="0.699305555555556" right="0.699305555555556" top="0.75" bottom="0.75" header="0.3" footer="0.3"/>
  <pageSetup paperSize="9" orientation="portrait"/>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L291"/>
  <sheetViews>
    <sheetView zoomScale="115" zoomScaleNormal="115" workbookViewId="0">
      <pane ySplit="1" topLeftCell="A274" activePane="bottomLeft" state="frozen"/>
      <selection/>
      <selection pane="bottomLeft" activeCell="C291" sqref="C291"/>
    </sheetView>
  </sheetViews>
  <sheetFormatPr defaultColWidth="9" defaultRowHeight="11.5"/>
  <cols>
    <col min="1" max="1" width="27.5" style="6" customWidth="1"/>
    <col min="2" max="2" width="8.12727272727273" style="6" customWidth="1"/>
    <col min="3" max="3" width="55.8727272727273" style="11" customWidth="1"/>
    <col min="4" max="4" width="12" style="11" customWidth="1"/>
    <col min="5" max="5" width="8.12727272727273" style="11" customWidth="1"/>
    <col min="6" max="6" width="7.37272727272727" style="11" customWidth="1"/>
    <col min="7" max="7" width="5.62727272727273" style="11" customWidth="1"/>
    <col min="8" max="8" width="10.2545454545455" style="11" customWidth="1"/>
    <col min="9" max="9" width="16" style="11" customWidth="1"/>
    <col min="10" max="10" width="10.2545454545455" style="11" customWidth="1"/>
    <col min="11" max="11" width="11.8727272727273" style="11" customWidth="1"/>
    <col min="12" max="12" width="26.1272727272727" style="6" customWidth="1"/>
    <col min="13" max="16384" width="9" style="11"/>
  </cols>
  <sheetData>
    <row r="1" s="4" customFormat="1" spans="1:12">
      <c r="A1" s="5" t="s">
        <v>69</v>
      </c>
      <c r="B1" s="5" t="s">
        <v>26</v>
      </c>
      <c r="C1" s="4" t="s">
        <v>70</v>
      </c>
      <c r="D1" s="4" t="s">
        <v>71</v>
      </c>
      <c r="E1" s="4" t="s">
        <v>33</v>
      </c>
      <c r="F1" s="4" t="s">
        <v>34</v>
      </c>
      <c r="G1" s="4" t="s">
        <v>72</v>
      </c>
      <c r="H1" s="4" t="s">
        <v>73</v>
      </c>
      <c r="I1" s="4" t="s">
        <v>74</v>
      </c>
      <c r="J1" s="4" t="s">
        <v>75</v>
      </c>
      <c r="K1" s="4" t="s">
        <v>76</v>
      </c>
      <c r="L1" s="5" t="s">
        <v>11</v>
      </c>
    </row>
    <row r="2" spans="1:12">
      <c r="A2" s="6" t="s">
        <v>77</v>
      </c>
      <c r="B2" s="6" t="s">
        <v>78</v>
      </c>
      <c r="C2" s="11">
        <v>0.315507799</v>
      </c>
      <c r="D2" s="11" t="s">
        <v>45</v>
      </c>
      <c r="E2" s="11">
        <v>0</v>
      </c>
      <c r="F2" s="11">
        <v>0.99</v>
      </c>
      <c r="G2" s="11" t="s">
        <v>79</v>
      </c>
      <c r="H2" s="11" t="s">
        <v>80</v>
      </c>
      <c r="I2" s="11" t="s">
        <v>81</v>
      </c>
      <c r="J2" s="11" t="s">
        <v>82</v>
      </c>
      <c r="K2" s="11" t="s">
        <v>83</v>
      </c>
      <c r="L2" s="6" t="s">
        <v>84</v>
      </c>
    </row>
    <row r="3" spans="1:12">
      <c r="A3" s="6" t="s">
        <v>85</v>
      </c>
      <c r="B3" s="6" t="s">
        <v>78</v>
      </c>
      <c r="C3" s="11">
        <v>0.048828125</v>
      </c>
      <c r="D3" s="11" t="s">
        <v>45</v>
      </c>
      <c r="E3" s="11">
        <v>-0.6</v>
      </c>
      <c r="F3" s="11">
        <v>0.6</v>
      </c>
      <c r="G3" s="11" t="s">
        <v>79</v>
      </c>
      <c r="H3" s="11" t="s">
        <v>80</v>
      </c>
      <c r="I3" s="11" t="s">
        <v>81</v>
      </c>
      <c r="J3" s="11" t="s">
        <v>82</v>
      </c>
      <c r="K3" s="11" t="s">
        <v>83</v>
      </c>
      <c r="L3" s="6" t="s">
        <v>86</v>
      </c>
    </row>
    <row r="4" spans="1:12">
      <c r="A4" s="6" t="s">
        <v>87</v>
      </c>
      <c r="B4" s="6" t="s">
        <v>78</v>
      </c>
      <c r="C4" s="11">
        <v>480</v>
      </c>
      <c r="D4" s="11" t="s">
        <v>41</v>
      </c>
      <c r="E4" s="11">
        <v>0</v>
      </c>
      <c r="F4" s="11">
        <v>65535</v>
      </c>
      <c r="G4" s="11" t="s">
        <v>79</v>
      </c>
      <c r="H4" s="11" t="s">
        <v>80</v>
      </c>
      <c r="I4" s="11" t="s">
        <v>81</v>
      </c>
      <c r="J4" s="11" t="s">
        <v>82</v>
      </c>
      <c r="K4" s="11" t="s">
        <v>83</v>
      </c>
      <c r="L4" s="6" t="s">
        <v>88</v>
      </c>
    </row>
    <row r="5" spans="1:12">
      <c r="A5" s="6" t="s">
        <v>89</v>
      </c>
      <c r="B5" s="6" t="s">
        <v>78</v>
      </c>
      <c r="C5" s="11">
        <v>33247</v>
      </c>
      <c r="D5" s="11" t="s">
        <v>41</v>
      </c>
      <c r="E5" s="11">
        <v>0</v>
      </c>
      <c r="F5" s="11">
        <v>65535</v>
      </c>
      <c r="G5" s="11" t="s">
        <v>79</v>
      </c>
      <c r="H5" s="11" t="s">
        <v>80</v>
      </c>
      <c r="I5" s="11" t="s">
        <v>81</v>
      </c>
      <c r="J5" s="11" t="s">
        <v>82</v>
      </c>
      <c r="K5" s="11" t="s">
        <v>83</v>
      </c>
      <c r="L5" s="6" t="s">
        <v>88</v>
      </c>
    </row>
    <row r="6" spans="1:12">
      <c r="A6" s="6" t="s">
        <v>90</v>
      </c>
      <c r="B6" s="6" t="s">
        <v>78</v>
      </c>
      <c r="C6" s="11">
        <v>32287</v>
      </c>
      <c r="D6" s="11" t="s">
        <v>41</v>
      </c>
      <c r="E6" s="11">
        <v>0</v>
      </c>
      <c r="F6" s="11">
        <v>65535</v>
      </c>
      <c r="G6" s="11" t="s">
        <v>79</v>
      </c>
      <c r="H6" s="11" t="s">
        <v>80</v>
      </c>
      <c r="I6" s="11" t="s">
        <v>81</v>
      </c>
      <c r="J6" s="11" t="s">
        <v>82</v>
      </c>
      <c r="K6" s="11" t="s">
        <v>83</v>
      </c>
      <c r="L6" s="6" t="s">
        <v>88</v>
      </c>
    </row>
    <row r="7" spans="1:12">
      <c r="A7" s="6" t="s">
        <v>91</v>
      </c>
      <c r="B7" s="6" t="s">
        <v>78</v>
      </c>
      <c r="C7" s="10">
        <v>0</v>
      </c>
      <c r="D7" s="11" t="s">
        <v>42</v>
      </c>
      <c r="E7" s="11">
        <v>-32768</v>
      </c>
      <c r="F7" s="11">
        <v>32767</v>
      </c>
      <c r="G7" s="11" t="s">
        <v>79</v>
      </c>
      <c r="H7" s="11" t="s">
        <v>80</v>
      </c>
      <c r="I7" s="11" t="s">
        <v>81</v>
      </c>
      <c r="J7" s="11" t="s">
        <v>82</v>
      </c>
      <c r="K7" s="11" t="s">
        <v>83</v>
      </c>
      <c r="L7" s="6" t="s">
        <v>92</v>
      </c>
    </row>
    <row r="8" spans="1:12">
      <c r="A8" s="19" t="s">
        <v>93</v>
      </c>
      <c r="B8" s="6" t="s">
        <v>78</v>
      </c>
      <c r="C8" s="11">
        <v>3</v>
      </c>
      <c r="D8" s="11" t="s">
        <v>45</v>
      </c>
      <c r="E8" s="11">
        <v>-512</v>
      </c>
      <c r="F8" s="11">
        <v>512</v>
      </c>
      <c r="G8" s="11" t="s">
        <v>94</v>
      </c>
      <c r="H8" s="11" t="s">
        <v>80</v>
      </c>
      <c r="I8" s="11" t="s">
        <v>81</v>
      </c>
      <c r="J8" s="11" t="s">
        <v>82</v>
      </c>
      <c r="K8" s="11" t="s">
        <v>83</v>
      </c>
      <c r="L8" s="6" t="s">
        <v>95</v>
      </c>
    </row>
    <row r="9" spans="1:12">
      <c r="A9" s="19" t="s">
        <v>96</v>
      </c>
      <c r="B9" s="6" t="s">
        <v>78</v>
      </c>
      <c r="C9" s="11">
        <v>3000</v>
      </c>
      <c r="D9" s="11" t="s">
        <v>45</v>
      </c>
      <c r="E9" s="11">
        <v>-10000</v>
      </c>
      <c r="F9" s="11">
        <v>10000</v>
      </c>
      <c r="G9" s="11" t="s">
        <v>94</v>
      </c>
      <c r="H9" s="11" t="s">
        <v>80</v>
      </c>
      <c r="I9" s="11" t="s">
        <v>81</v>
      </c>
      <c r="J9" s="11" t="s">
        <v>82</v>
      </c>
      <c r="K9" s="11" t="s">
        <v>83</v>
      </c>
      <c r="L9" s="6" t="s">
        <v>97</v>
      </c>
    </row>
    <row r="10" spans="1:12">
      <c r="A10" s="19" t="s">
        <v>98</v>
      </c>
      <c r="B10" s="6" t="s">
        <v>78</v>
      </c>
      <c r="C10" s="11">
        <v>0</v>
      </c>
      <c r="D10" s="11" t="s">
        <v>43</v>
      </c>
      <c r="E10" s="11">
        <v>0</v>
      </c>
      <c r="F10" s="11">
        <v>4294836225</v>
      </c>
      <c r="G10" s="11" t="s">
        <v>94</v>
      </c>
      <c r="H10" s="11" t="s">
        <v>80</v>
      </c>
      <c r="I10" s="11" t="s">
        <v>81</v>
      </c>
      <c r="J10" s="11" t="s">
        <v>82</v>
      </c>
      <c r="K10" s="11" t="s">
        <v>83</v>
      </c>
      <c r="L10" s="6" t="s">
        <v>97</v>
      </c>
    </row>
    <row r="11" spans="1:12">
      <c r="A11" s="19" t="s">
        <v>99</v>
      </c>
      <c r="B11" s="6" t="s">
        <v>78</v>
      </c>
      <c r="C11" s="11">
        <v>0.003</v>
      </c>
      <c r="D11" s="11" t="s">
        <v>45</v>
      </c>
      <c r="E11" s="11">
        <v>-0.1</v>
      </c>
      <c r="F11" s="11">
        <v>0.1</v>
      </c>
      <c r="G11" s="11" t="s">
        <v>79</v>
      </c>
      <c r="H11" s="11" t="s">
        <v>80</v>
      </c>
      <c r="I11" s="11" t="s">
        <v>81</v>
      </c>
      <c r="J11" s="11" t="s">
        <v>82</v>
      </c>
      <c r="K11" s="11" t="s">
        <v>83</v>
      </c>
      <c r="L11" s="6" t="s">
        <v>100</v>
      </c>
    </row>
    <row r="12" spans="1:12">
      <c r="A12" s="6" t="s">
        <v>101</v>
      </c>
      <c r="B12" s="6" t="s">
        <v>78</v>
      </c>
      <c r="C12" s="11">
        <v>0</v>
      </c>
      <c r="D12" s="11" t="s">
        <v>38</v>
      </c>
      <c r="E12" s="11">
        <v>0</v>
      </c>
      <c r="F12" s="11">
        <v>255</v>
      </c>
      <c r="G12" s="11" t="s">
        <v>79</v>
      </c>
      <c r="H12" s="11" t="s">
        <v>80</v>
      </c>
      <c r="I12" s="11" t="s">
        <v>81</v>
      </c>
      <c r="J12" s="11" t="s">
        <v>82</v>
      </c>
      <c r="K12" s="11" t="s">
        <v>83</v>
      </c>
      <c r="L12" s="6" t="s">
        <v>102</v>
      </c>
    </row>
    <row r="13" spans="1:12">
      <c r="A13" s="6" t="s">
        <v>103</v>
      </c>
      <c r="B13" s="6" t="s">
        <v>78</v>
      </c>
      <c r="C13" s="11">
        <v>100</v>
      </c>
      <c r="D13" s="11" t="s">
        <v>38</v>
      </c>
      <c r="E13" s="11">
        <v>0</v>
      </c>
      <c r="F13" s="11">
        <v>255</v>
      </c>
      <c r="G13" s="11" t="s">
        <v>79</v>
      </c>
      <c r="H13" s="11" t="s">
        <v>80</v>
      </c>
      <c r="I13" s="11" t="s">
        <v>81</v>
      </c>
      <c r="J13" s="11" t="s">
        <v>82</v>
      </c>
      <c r="K13" s="11" t="s">
        <v>83</v>
      </c>
      <c r="L13" s="6" t="s">
        <v>88</v>
      </c>
    </row>
    <row r="14" spans="1:12">
      <c r="A14" s="6" t="s">
        <v>104</v>
      </c>
      <c r="B14" s="6" t="s">
        <v>78</v>
      </c>
      <c r="C14" s="11">
        <v>1</v>
      </c>
      <c r="D14" s="11" t="s">
        <v>38</v>
      </c>
      <c r="E14" s="11">
        <v>0</v>
      </c>
      <c r="F14" s="11">
        <v>255</v>
      </c>
      <c r="G14" s="11" t="s">
        <v>79</v>
      </c>
      <c r="H14" s="11" t="s">
        <v>80</v>
      </c>
      <c r="I14" s="11" t="s">
        <v>81</v>
      </c>
      <c r="J14" s="11" t="s">
        <v>82</v>
      </c>
      <c r="K14" s="11" t="s">
        <v>83</v>
      </c>
      <c r="L14" s="6" t="s">
        <v>105</v>
      </c>
    </row>
    <row r="15" spans="1:12">
      <c r="A15" s="6" t="s">
        <v>106</v>
      </c>
      <c r="B15" s="6" t="s">
        <v>78</v>
      </c>
      <c r="C15" s="11">
        <v>254</v>
      </c>
      <c r="D15" s="11" t="s">
        <v>38</v>
      </c>
      <c r="E15" s="11">
        <v>0</v>
      </c>
      <c r="F15" s="11">
        <v>255</v>
      </c>
      <c r="G15" s="11" t="s">
        <v>79</v>
      </c>
      <c r="H15" s="11" t="s">
        <v>80</v>
      </c>
      <c r="I15" s="11" t="s">
        <v>81</v>
      </c>
      <c r="J15" s="11" t="s">
        <v>82</v>
      </c>
      <c r="K15" s="11" t="s">
        <v>83</v>
      </c>
      <c r="L15" s="6" t="s">
        <v>105</v>
      </c>
    </row>
    <row r="16" spans="1:12">
      <c r="A16" s="6" t="s">
        <v>107</v>
      </c>
      <c r="B16" s="6" t="s">
        <v>78</v>
      </c>
      <c r="C16" s="11">
        <v>410</v>
      </c>
      <c r="D16" s="11" t="s">
        <v>45</v>
      </c>
      <c r="E16" s="11">
        <v>0</v>
      </c>
      <c r="F16" s="11">
        <v>1000</v>
      </c>
      <c r="G16" s="11" t="s">
        <v>108</v>
      </c>
      <c r="H16" s="11" t="s">
        <v>80</v>
      </c>
      <c r="I16" s="11" t="s">
        <v>81</v>
      </c>
      <c r="J16" s="11" t="s">
        <v>82</v>
      </c>
      <c r="K16" s="11" t="s">
        <v>83</v>
      </c>
      <c r="L16" s="6" t="s">
        <v>109</v>
      </c>
    </row>
    <row r="17" spans="1:12">
      <c r="A17" s="6" t="s">
        <v>110</v>
      </c>
      <c r="B17" s="6" t="s">
        <v>78</v>
      </c>
      <c r="C17" s="11">
        <v>380</v>
      </c>
      <c r="D17" s="11" t="s">
        <v>45</v>
      </c>
      <c r="E17" s="11">
        <v>0</v>
      </c>
      <c r="F17" s="11">
        <v>1000</v>
      </c>
      <c r="G17" s="11" t="s">
        <v>108</v>
      </c>
      <c r="H17" s="11" t="s">
        <v>80</v>
      </c>
      <c r="I17" s="11" t="s">
        <v>81</v>
      </c>
      <c r="J17" s="11" t="s">
        <v>82</v>
      </c>
      <c r="K17" s="11" t="s">
        <v>83</v>
      </c>
      <c r="L17" s="6" t="s">
        <v>111</v>
      </c>
    </row>
    <row r="18" spans="1:12">
      <c r="A18" s="6" t="s">
        <v>112</v>
      </c>
      <c r="B18" s="6" t="s">
        <v>78</v>
      </c>
      <c r="C18" s="11">
        <v>200</v>
      </c>
      <c r="D18" s="11" t="s">
        <v>45</v>
      </c>
      <c r="E18" s="11">
        <v>0</v>
      </c>
      <c r="F18" s="11">
        <v>1000</v>
      </c>
      <c r="G18" s="11" t="s">
        <v>108</v>
      </c>
      <c r="H18" s="11" t="s">
        <v>80</v>
      </c>
      <c r="I18" s="11" t="s">
        <v>81</v>
      </c>
      <c r="J18" s="11" t="s">
        <v>82</v>
      </c>
      <c r="K18" s="11" t="s">
        <v>83</v>
      </c>
      <c r="L18" s="6" t="s">
        <v>113</v>
      </c>
    </row>
    <row r="19" s="6" customFormat="1" spans="1:12">
      <c r="A19" s="6" t="s">
        <v>114</v>
      </c>
      <c r="B19" s="6" t="s">
        <v>78</v>
      </c>
      <c r="C19" s="11">
        <v>280</v>
      </c>
      <c r="D19" s="11" t="s">
        <v>45</v>
      </c>
      <c r="E19" s="11">
        <v>0</v>
      </c>
      <c r="F19" s="11">
        <v>1000</v>
      </c>
      <c r="G19" s="11" t="s">
        <v>108</v>
      </c>
      <c r="H19" s="11" t="s">
        <v>80</v>
      </c>
      <c r="I19" s="11" t="s">
        <v>81</v>
      </c>
      <c r="J19" s="11" t="s">
        <v>82</v>
      </c>
      <c r="K19" s="11" t="s">
        <v>83</v>
      </c>
      <c r="L19" s="6" t="s">
        <v>115</v>
      </c>
    </row>
    <row r="20" s="6" customFormat="1" spans="1:12">
      <c r="A20" s="6" t="s">
        <v>116</v>
      </c>
      <c r="B20" s="6" t="s">
        <v>78</v>
      </c>
      <c r="C20" s="11">
        <v>250</v>
      </c>
      <c r="D20" s="11" t="s">
        <v>45</v>
      </c>
      <c r="E20" s="11">
        <v>0</v>
      </c>
      <c r="F20" s="11">
        <v>1000</v>
      </c>
      <c r="G20" s="11" t="s">
        <v>108</v>
      </c>
      <c r="H20" s="11" t="s">
        <v>80</v>
      </c>
      <c r="I20" s="11" t="s">
        <v>81</v>
      </c>
      <c r="J20" s="11" t="s">
        <v>82</v>
      </c>
      <c r="K20" s="11" t="s">
        <v>83</v>
      </c>
      <c r="L20" s="6" t="s">
        <v>117</v>
      </c>
    </row>
    <row r="21" spans="1:12">
      <c r="A21" s="6" t="s">
        <v>118</v>
      </c>
      <c r="B21" s="6" t="s">
        <v>78</v>
      </c>
      <c r="C21" s="11">
        <v>22</v>
      </c>
      <c r="D21" s="11" t="s">
        <v>45</v>
      </c>
      <c r="E21" s="11">
        <v>0</v>
      </c>
      <c r="F21" s="11">
        <v>32</v>
      </c>
      <c r="G21" s="11" t="s">
        <v>108</v>
      </c>
      <c r="H21" s="11" t="s">
        <v>80</v>
      </c>
      <c r="I21" s="11" t="s">
        <v>81</v>
      </c>
      <c r="J21" s="11" t="s">
        <v>82</v>
      </c>
      <c r="K21" s="11" t="s">
        <v>83</v>
      </c>
      <c r="L21" s="6" t="s">
        <v>119</v>
      </c>
    </row>
    <row r="22" spans="1:12">
      <c r="A22" s="6" t="s">
        <v>120</v>
      </c>
      <c r="B22" s="6" t="s">
        <v>78</v>
      </c>
      <c r="C22" s="11">
        <v>17</v>
      </c>
      <c r="D22" s="11" t="s">
        <v>45</v>
      </c>
      <c r="E22" s="11">
        <v>0</v>
      </c>
      <c r="F22" s="11">
        <v>30</v>
      </c>
      <c r="G22" s="11" t="s">
        <v>108</v>
      </c>
      <c r="H22" s="11" t="s">
        <v>80</v>
      </c>
      <c r="I22" s="11" t="s">
        <v>81</v>
      </c>
      <c r="J22" s="11" t="s">
        <v>82</v>
      </c>
      <c r="K22" s="11" t="s">
        <v>83</v>
      </c>
      <c r="L22" s="6" t="s">
        <v>121</v>
      </c>
    </row>
    <row r="23" spans="1:12">
      <c r="A23" s="6" t="s">
        <v>122</v>
      </c>
      <c r="B23" s="6" t="s">
        <v>78</v>
      </c>
      <c r="C23" s="11">
        <v>9</v>
      </c>
      <c r="D23" s="11" t="s">
        <v>45</v>
      </c>
      <c r="E23" s="11">
        <v>0</v>
      </c>
      <c r="F23" s="11">
        <v>30</v>
      </c>
      <c r="G23" s="11" t="s">
        <v>108</v>
      </c>
      <c r="H23" s="11" t="s">
        <v>80</v>
      </c>
      <c r="I23" s="11" t="s">
        <v>81</v>
      </c>
      <c r="J23" s="11" t="s">
        <v>82</v>
      </c>
      <c r="K23" s="11" t="s">
        <v>83</v>
      </c>
      <c r="L23" s="6" t="s">
        <v>123</v>
      </c>
    </row>
    <row r="24" spans="1:12">
      <c r="A24" s="6" t="s">
        <v>124</v>
      </c>
      <c r="B24" s="6" t="s">
        <v>78</v>
      </c>
      <c r="C24" s="11">
        <v>5.8</v>
      </c>
      <c r="D24" s="11" t="s">
        <v>45</v>
      </c>
      <c r="E24" s="11">
        <v>0</v>
      </c>
      <c r="F24" s="11">
        <v>32</v>
      </c>
      <c r="G24" s="11" t="s">
        <v>108</v>
      </c>
      <c r="H24" s="11" t="s">
        <v>80</v>
      </c>
      <c r="I24" s="11" t="s">
        <v>81</v>
      </c>
      <c r="J24" s="11" t="s">
        <v>82</v>
      </c>
      <c r="K24" s="11" t="s">
        <v>83</v>
      </c>
      <c r="L24" s="6" t="s">
        <v>125</v>
      </c>
    </row>
    <row r="25" spans="1:12">
      <c r="A25" s="6" t="s">
        <v>126</v>
      </c>
      <c r="B25" s="6" t="s">
        <v>78</v>
      </c>
      <c r="C25" s="11">
        <v>0.2</v>
      </c>
      <c r="D25" s="11" t="s">
        <v>45</v>
      </c>
      <c r="E25" s="11">
        <v>0</v>
      </c>
      <c r="F25" s="11">
        <v>30</v>
      </c>
      <c r="G25" s="11" t="s">
        <v>108</v>
      </c>
      <c r="H25" s="11" t="s">
        <v>80</v>
      </c>
      <c r="I25" s="11" t="s">
        <v>81</v>
      </c>
      <c r="J25" s="11" t="s">
        <v>82</v>
      </c>
      <c r="K25" s="11" t="s">
        <v>83</v>
      </c>
      <c r="L25" s="6" t="s">
        <v>127</v>
      </c>
    </row>
    <row r="26" spans="1:12">
      <c r="A26" s="6" t="s">
        <v>128</v>
      </c>
      <c r="B26" s="6" t="s">
        <v>78</v>
      </c>
      <c r="C26" s="11">
        <v>0.2</v>
      </c>
      <c r="D26" s="11" t="s">
        <v>45</v>
      </c>
      <c r="E26" s="11">
        <v>0</v>
      </c>
      <c r="F26" s="11">
        <v>30</v>
      </c>
      <c r="G26" s="11" t="s">
        <v>108</v>
      </c>
      <c r="H26" s="11" t="s">
        <v>80</v>
      </c>
      <c r="I26" s="11" t="s">
        <v>81</v>
      </c>
      <c r="J26" s="11" t="s">
        <v>82</v>
      </c>
      <c r="K26" s="11" t="s">
        <v>83</v>
      </c>
      <c r="L26" s="6" t="s">
        <v>129</v>
      </c>
    </row>
    <row r="27" spans="1:12">
      <c r="A27" s="6" t="s">
        <v>130</v>
      </c>
      <c r="B27" s="6" t="s">
        <v>78</v>
      </c>
      <c r="C27" s="11">
        <v>5.3</v>
      </c>
      <c r="D27" s="11" t="s">
        <v>45</v>
      </c>
      <c r="E27" s="11">
        <v>0</v>
      </c>
      <c r="F27" s="11">
        <v>32</v>
      </c>
      <c r="G27" s="11" t="s">
        <v>108</v>
      </c>
      <c r="H27" s="11" t="s">
        <v>80</v>
      </c>
      <c r="I27" s="11" t="s">
        <v>81</v>
      </c>
      <c r="J27" s="11" t="s">
        <v>82</v>
      </c>
      <c r="K27" s="11" t="s">
        <v>83</v>
      </c>
      <c r="L27" s="6" t="s">
        <v>131</v>
      </c>
    </row>
    <row r="28" spans="1:12">
      <c r="A28" s="6" t="s">
        <v>132</v>
      </c>
      <c r="B28" s="6" t="s">
        <v>78</v>
      </c>
      <c r="C28" s="11">
        <v>4.7</v>
      </c>
      <c r="D28" s="11" t="s">
        <v>45</v>
      </c>
      <c r="E28" s="11">
        <v>0</v>
      </c>
      <c r="F28" s="11">
        <v>32</v>
      </c>
      <c r="G28" s="11" t="s">
        <v>108</v>
      </c>
      <c r="H28" s="11" t="s">
        <v>80</v>
      </c>
      <c r="I28" s="11" t="s">
        <v>81</v>
      </c>
      <c r="J28" s="11" t="s">
        <v>82</v>
      </c>
      <c r="K28" s="11" t="s">
        <v>83</v>
      </c>
      <c r="L28" s="6" t="s">
        <v>133</v>
      </c>
    </row>
    <row r="29" spans="1:12">
      <c r="A29" s="6" t="s">
        <v>134</v>
      </c>
      <c r="B29" s="6" t="s">
        <v>78</v>
      </c>
      <c r="C29" s="11">
        <v>18</v>
      </c>
      <c r="D29" s="11" t="s">
        <v>45</v>
      </c>
      <c r="E29" s="11">
        <v>0</v>
      </c>
      <c r="F29" s="11">
        <v>32</v>
      </c>
      <c r="G29" s="11" t="s">
        <v>108</v>
      </c>
      <c r="H29" s="11" t="s">
        <v>80</v>
      </c>
      <c r="I29" s="11" t="s">
        <v>81</v>
      </c>
      <c r="J29" s="11" t="s">
        <v>82</v>
      </c>
      <c r="K29" s="11" t="s">
        <v>83</v>
      </c>
      <c r="L29" s="6" t="s">
        <v>135</v>
      </c>
    </row>
    <row r="30" spans="1:12">
      <c r="A30" s="6" t="s">
        <v>136</v>
      </c>
      <c r="B30" s="6" t="s">
        <v>78</v>
      </c>
      <c r="C30" s="11">
        <v>11</v>
      </c>
      <c r="D30" s="11" t="s">
        <v>45</v>
      </c>
      <c r="E30" s="11">
        <v>0</v>
      </c>
      <c r="F30" s="11">
        <v>32</v>
      </c>
      <c r="G30" s="11" t="s">
        <v>108</v>
      </c>
      <c r="H30" s="11" t="s">
        <v>80</v>
      </c>
      <c r="I30" s="11" t="s">
        <v>81</v>
      </c>
      <c r="J30" s="11" t="s">
        <v>82</v>
      </c>
      <c r="K30" s="11" t="s">
        <v>83</v>
      </c>
      <c r="L30" s="6" t="s">
        <v>137</v>
      </c>
    </row>
    <row r="31" spans="1:12">
      <c r="A31" s="6" t="s">
        <v>138</v>
      </c>
      <c r="B31" s="6" t="s">
        <v>78</v>
      </c>
      <c r="C31" s="11">
        <v>5.5</v>
      </c>
      <c r="D31" s="11" t="s">
        <v>45</v>
      </c>
      <c r="E31" s="11">
        <v>0</v>
      </c>
      <c r="F31" s="11">
        <v>30</v>
      </c>
      <c r="G31" s="11" t="s">
        <v>108</v>
      </c>
      <c r="H31" s="11" t="s">
        <v>80</v>
      </c>
      <c r="I31" s="11" t="s">
        <v>81</v>
      </c>
      <c r="J31" s="11" t="s">
        <v>82</v>
      </c>
      <c r="K31" s="11" t="s">
        <v>83</v>
      </c>
      <c r="L31" s="6" t="s">
        <v>139</v>
      </c>
    </row>
    <row r="32" spans="1:12">
      <c r="A32" s="6" t="s">
        <v>140</v>
      </c>
      <c r="B32" s="6" t="s">
        <v>78</v>
      </c>
      <c r="C32" s="11">
        <v>5.2</v>
      </c>
      <c r="D32" s="11" t="s">
        <v>45</v>
      </c>
      <c r="E32" s="11">
        <v>0</v>
      </c>
      <c r="F32" s="11">
        <v>30</v>
      </c>
      <c r="G32" s="11" t="s">
        <v>108</v>
      </c>
      <c r="H32" s="11" t="s">
        <v>80</v>
      </c>
      <c r="I32" s="11" t="s">
        <v>81</v>
      </c>
      <c r="J32" s="11" t="s">
        <v>82</v>
      </c>
      <c r="K32" s="11" t="s">
        <v>83</v>
      </c>
      <c r="L32" s="6" t="s">
        <v>141</v>
      </c>
    </row>
    <row r="33" spans="1:12">
      <c r="A33" s="6" t="s">
        <v>142</v>
      </c>
      <c r="B33" s="6" t="s">
        <v>78</v>
      </c>
      <c r="C33" s="11">
        <v>4.8</v>
      </c>
      <c r="D33" s="11" t="s">
        <v>45</v>
      </c>
      <c r="E33" s="11">
        <v>0</v>
      </c>
      <c r="F33" s="11">
        <v>30</v>
      </c>
      <c r="G33" s="11" t="s">
        <v>108</v>
      </c>
      <c r="H33" s="11" t="s">
        <v>80</v>
      </c>
      <c r="I33" s="11" t="s">
        <v>81</v>
      </c>
      <c r="J33" s="11" t="s">
        <v>82</v>
      </c>
      <c r="K33" s="11" t="s">
        <v>83</v>
      </c>
      <c r="L33" s="6" t="s">
        <v>143</v>
      </c>
    </row>
    <row r="34" spans="1:12">
      <c r="A34" s="6" t="s">
        <v>144</v>
      </c>
      <c r="B34" s="6" t="s">
        <v>78</v>
      </c>
      <c r="C34" s="11">
        <v>4.5</v>
      </c>
      <c r="D34" s="11" t="s">
        <v>45</v>
      </c>
      <c r="E34" s="11">
        <v>0</v>
      </c>
      <c r="F34" s="11">
        <v>30</v>
      </c>
      <c r="G34" s="11" t="s">
        <v>108</v>
      </c>
      <c r="H34" s="11" t="s">
        <v>80</v>
      </c>
      <c r="I34" s="11" t="s">
        <v>81</v>
      </c>
      <c r="J34" s="11" t="s">
        <v>82</v>
      </c>
      <c r="K34" s="11" t="s">
        <v>83</v>
      </c>
      <c r="L34" s="6" t="s">
        <v>145</v>
      </c>
    </row>
    <row r="35" spans="1:12">
      <c r="A35" s="6" t="s">
        <v>146</v>
      </c>
      <c r="B35" s="6" t="s">
        <v>78</v>
      </c>
      <c r="C35" s="11">
        <v>5.5</v>
      </c>
      <c r="D35" s="11" t="s">
        <v>45</v>
      </c>
      <c r="E35" s="11">
        <v>0</v>
      </c>
      <c r="F35" s="11">
        <v>30</v>
      </c>
      <c r="G35" s="11" t="s">
        <v>108</v>
      </c>
      <c r="H35" s="11" t="s">
        <v>80</v>
      </c>
      <c r="I35" s="11" t="s">
        <v>81</v>
      </c>
      <c r="J35" s="11" t="s">
        <v>82</v>
      </c>
      <c r="K35" s="11" t="s">
        <v>83</v>
      </c>
      <c r="L35" s="6" t="s">
        <v>147</v>
      </c>
    </row>
    <row r="36" spans="1:12">
      <c r="A36" s="6" t="s">
        <v>148</v>
      </c>
      <c r="B36" s="6" t="s">
        <v>78</v>
      </c>
      <c r="C36" s="11">
        <v>5.2</v>
      </c>
      <c r="D36" s="11" t="s">
        <v>45</v>
      </c>
      <c r="E36" s="11">
        <v>0</v>
      </c>
      <c r="F36" s="11">
        <v>30</v>
      </c>
      <c r="G36" s="11" t="s">
        <v>108</v>
      </c>
      <c r="H36" s="11" t="s">
        <v>80</v>
      </c>
      <c r="I36" s="11" t="s">
        <v>81</v>
      </c>
      <c r="J36" s="11" t="s">
        <v>82</v>
      </c>
      <c r="K36" s="11" t="s">
        <v>83</v>
      </c>
      <c r="L36" s="6" t="s">
        <v>149</v>
      </c>
    </row>
    <row r="37" spans="1:12">
      <c r="A37" s="6" t="s">
        <v>150</v>
      </c>
      <c r="B37" s="6" t="s">
        <v>78</v>
      </c>
      <c r="C37" s="11">
        <v>4.8</v>
      </c>
      <c r="D37" s="11" t="s">
        <v>45</v>
      </c>
      <c r="E37" s="11">
        <v>0</v>
      </c>
      <c r="F37" s="11">
        <v>30</v>
      </c>
      <c r="G37" s="11" t="s">
        <v>108</v>
      </c>
      <c r="H37" s="11" t="s">
        <v>80</v>
      </c>
      <c r="I37" s="11" t="s">
        <v>81</v>
      </c>
      <c r="J37" s="11" t="s">
        <v>82</v>
      </c>
      <c r="K37" s="11" t="s">
        <v>83</v>
      </c>
      <c r="L37" s="6" t="s">
        <v>151</v>
      </c>
    </row>
    <row r="38" spans="1:12">
      <c r="A38" s="6" t="s">
        <v>152</v>
      </c>
      <c r="B38" s="6" t="s">
        <v>78</v>
      </c>
      <c r="C38" s="11">
        <v>4.5</v>
      </c>
      <c r="D38" s="11" t="s">
        <v>45</v>
      </c>
      <c r="E38" s="11">
        <v>0</v>
      </c>
      <c r="F38" s="11">
        <v>30</v>
      </c>
      <c r="G38" s="11" t="s">
        <v>108</v>
      </c>
      <c r="H38" s="11" t="s">
        <v>80</v>
      </c>
      <c r="I38" s="11" t="s">
        <v>81</v>
      </c>
      <c r="J38" s="11" t="s">
        <v>82</v>
      </c>
      <c r="K38" s="11" t="s">
        <v>83</v>
      </c>
      <c r="L38" s="6" t="s">
        <v>153</v>
      </c>
    </row>
    <row r="39" spans="1:12">
      <c r="A39" s="6" t="s">
        <v>154</v>
      </c>
      <c r="B39" s="6" t="s">
        <v>78</v>
      </c>
      <c r="C39" s="11">
        <v>3.6</v>
      </c>
      <c r="D39" s="11" t="s">
        <v>45</v>
      </c>
      <c r="E39" s="11">
        <v>0</v>
      </c>
      <c r="F39" s="11">
        <v>32</v>
      </c>
      <c r="G39" s="11" t="s">
        <v>108</v>
      </c>
      <c r="H39" s="11" t="s">
        <v>80</v>
      </c>
      <c r="I39" s="11" t="s">
        <v>81</v>
      </c>
      <c r="J39" s="11" t="s">
        <v>82</v>
      </c>
      <c r="K39" s="11" t="s">
        <v>83</v>
      </c>
      <c r="L39" s="6" t="s">
        <v>155</v>
      </c>
    </row>
    <row r="40" spans="1:12">
      <c r="A40" s="6" t="s">
        <v>156</v>
      </c>
      <c r="B40" s="6" t="s">
        <v>78</v>
      </c>
      <c r="C40" s="11">
        <v>3</v>
      </c>
      <c r="D40" s="11" t="s">
        <v>45</v>
      </c>
      <c r="E40" s="11">
        <v>0</v>
      </c>
      <c r="F40" s="11">
        <v>32</v>
      </c>
      <c r="G40" s="11" t="s">
        <v>108</v>
      </c>
      <c r="H40" s="11" t="s">
        <v>80</v>
      </c>
      <c r="I40" s="11" t="s">
        <v>81</v>
      </c>
      <c r="J40" s="11" t="s">
        <v>82</v>
      </c>
      <c r="K40" s="11" t="s">
        <v>83</v>
      </c>
      <c r="L40" s="6" t="s">
        <v>157</v>
      </c>
    </row>
    <row r="41" spans="1:12">
      <c r="A41" s="6" t="s">
        <v>158</v>
      </c>
      <c r="B41" s="6" t="s">
        <v>78</v>
      </c>
      <c r="C41" s="11" t="s">
        <v>159</v>
      </c>
      <c r="D41" s="11" t="s">
        <v>47</v>
      </c>
      <c r="E41" s="11" t="s">
        <v>160</v>
      </c>
      <c r="F41" s="11" t="s">
        <v>161</v>
      </c>
      <c r="G41" s="11" t="s">
        <v>79</v>
      </c>
      <c r="H41" s="11" t="s">
        <v>80</v>
      </c>
      <c r="I41" s="11" t="s">
        <v>81</v>
      </c>
      <c r="J41" s="11" t="s">
        <v>82</v>
      </c>
      <c r="K41" s="11" t="s">
        <v>83</v>
      </c>
      <c r="L41" s="6" t="s">
        <v>162</v>
      </c>
    </row>
    <row r="42" spans="1:12">
      <c r="A42" s="6" t="s">
        <v>163</v>
      </c>
      <c r="B42" s="6" t="s">
        <v>78</v>
      </c>
      <c r="C42" s="11">
        <v>0</v>
      </c>
      <c r="D42" s="11" t="s">
        <v>38</v>
      </c>
      <c r="E42" s="11">
        <v>0</v>
      </c>
      <c r="F42" s="11">
        <v>5</v>
      </c>
      <c r="G42" s="11" t="s">
        <v>79</v>
      </c>
      <c r="H42" s="11" t="s">
        <v>80</v>
      </c>
      <c r="I42" s="11" t="s">
        <v>81</v>
      </c>
      <c r="J42" s="11" t="s">
        <v>82</v>
      </c>
      <c r="K42" s="11" t="s">
        <v>83</v>
      </c>
      <c r="L42" s="6" t="s">
        <v>164</v>
      </c>
    </row>
    <row r="43" spans="1:12">
      <c r="A43" s="6" t="s">
        <v>165</v>
      </c>
      <c r="B43" s="6" t="s">
        <v>78</v>
      </c>
      <c r="C43" s="11">
        <v>16</v>
      </c>
      <c r="D43" s="11" t="s">
        <v>45</v>
      </c>
      <c r="E43" s="11">
        <v>0</v>
      </c>
      <c r="F43" s="11">
        <v>500</v>
      </c>
      <c r="G43" s="11" t="s">
        <v>94</v>
      </c>
      <c r="H43" s="11" t="s">
        <v>80</v>
      </c>
      <c r="I43" s="11" t="s">
        <v>81</v>
      </c>
      <c r="J43" s="11" t="s">
        <v>82</v>
      </c>
      <c r="K43" s="11" t="s">
        <v>83</v>
      </c>
      <c r="L43" s="6" t="s">
        <v>166</v>
      </c>
    </row>
    <row r="44" spans="1:12">
      <c r="A44" s="6" t="s">
        <v>167</v>
      </c>
      <c r="B44" s="6" t="s">
        <v>78</v>
      </c>
      <c r="C44" s="11">
        <v>280</v>
      </c>
      <c r="D44" s="11" t="s">
        <v>45</v>
      </c>
      <c r="E44" s="11">
        <v>0</v>
      </c>
      <c r="F44" s="11">
        <v>500</v>
      </c>
      <c r="G44" s="11" t="s">
        <v>94</v>
      </c>
      <c r="H44" s="11" t="s">
        <v>80</v>
      </c>
      <c r="I44" s="11" t="s">
        <v>81</v>
      </c>
      <c r="J44" s="11" t="s">
        <v>82</v>
      </c>
      <c r="K44" s="11" t="s">
        <v>83</v>
      </c>
      <c r="L44" s="6" t="s">
        <v>166</v>
      </c>
    </row>
    <row r="45" spans="1:12">
      <c r="A45" s="6" t="s">
        <v>168</v>
      </c>
      <c r="B45" s="6" t="s">
        <v>78</v>
      </c>
      <c r="C45" s="11">
        <v>150000</v>
      </c>
      <c r="D45" s="11" t="s">
        <v>45</v>
      </c>
      <c r="E45" s="11">
        <v>0</v>
      </c>
      <c r="F45" s="11">
        <v>200000</v>
      </c>
      <c r="G45" s="11" t="s">
        <v>169</v>
      </c>
      <c r="H45" s="11" t="s">
        <v>80</v>
      </c>
      <c r="I45" s="11" t="s">
        <v>81</v>
      </c>
      <c r="J45" s="11" t="s">
        <v>82</v>
      </c>
      <c r="K45" s="11" t="s">
        <v>83</v>
      </c>
      <c r="L45" s="6" t="s">
        <v>170</v>
      </c>
    </row>
    <row r="46" spans="1:12">
      <c r="A46" s="6" t="s">
        <v>171</v>
      </c>
      <c r="B46" s="6" t="s">
        <v>78</v>
      </c>
      <c r="C46" s="11">
        <v>450</v>
      </c>
      <c r="D46" s="11" t="s">
        <v>45</v>
      </c>
      <c r="E46" s="11">
        <v>0</v>
      </c>
      <c r="F46" s="11">
        <v>500</v>
      </c>
      <c r="G46" s="11" t="s">
        <v>172</v>
      </c>
      <c r="H46" s="11" t="s">
        <v>80</v>
      </c>
      <c r="I46" s="11" t="s">
        <v>81</v>
      </c>
      <c r="J46" s="11" t="s">
        <v>82</v>
      </c>
      <c r="K46" s="11" t="s">
        <v>83</v>
      </c>
      <c r="L46" s="6" t="s">
        <v>173</v>
      </c>
    </row>
    <row r="47" spans="1:12">
      <c r="A47" s="6" t="s">
        <v>174</v>
      </c>
      <c r="B47" s="6" t="s">
        <v>78</v>
      </c>
      <c r="C47" s="11" t="s">
        <v>175</v>
      </c>
      <c r="D47" s="11" t="s">
        <v>45</v>
      </c>
      <c r="E47" s="11">
        <v>0</v>
      </c>
      <c r="F47" s="11">
        <v>32</v>
      </c>
      <c r="G47" s="11" t="s">
        <v>79</v>
      </c>
      <c r="H47" s="11" t="s">
        <v>80</v>
      </c>
      <c r="I47" s="11" t="s">
        <v>81</v>
      </c>
      <c r="J47" s="11" t="s">
        <v>82</v>
      </c>
      <c r="K47" s="11" t="s">
        <v>83</v>
      </c>
      <c r="L47" s="6" t="s">
        <v>176</v>
      </c>
    </row>
    <row r="48" spans="1:12">
      <c r="A48" s="6" t="s">
        <v>177</v>
      </c>
      <c r="B48" s="6" t="s">
        <v>78</v>
      </c>
      <c r="C48" s="11" t="s">
        <v>175</v>
      </c>
      <c r="D48" s="11" t="s">
        <v>45</v>
      </c>
      <c r="E48" s="11">
        <v>0</v>
      </c>
      <c r="F48" s="11">
        <v>32</v>
      </c>
      <c r="G48" s="11" t="s">
        <v>79</v>
      </c>
      <c r="H48" s="11" t="s">
        <v>80</v>
      </c>
      <c r="I48" s="11" t="s">
        <v>81</v>
      </c>
      <c r="J48" s="11" t="s">
        <v>82</v>
      </c>
      <c r="K48" s="11" t="s">
        <v>83</v>
      </c>
      <c r="L48" s="6" t="s">
        <v>176</v>
      </c>
    </row>
    <row r="49" spans="1:12">
      <c r="A49" s="6" t="s">
        <v>178</v>
      </c>
      <c r="B49" s="6" t="s">
        <v>78</v>
      </c>
      <c r="C49" s="20">
        <v>0.00135906256316987</v>
      </c>
      <c r="D49" s="11" t="s">
        <v>45</v>
      </c>
      <c r="E49" s="11">
        <v>0</v>
      </c>
      <c r="F49" s="11">
        <v>0.05</v>
      </c>
      <c r="G49" s="11" t="s">
        <v>179</v>
      </c>
      <c r="H49" s="11" t="s">
        <v>80</v>
      </c>
      <c r="I49" s="11" t="s">
        <v>81</v>
      </c>
      <c r="J49" s="11" t="s">
        <v>82</v>
      </c>
      <c r="K49" s="11" t="s">
        <v>83</v>
      </c>
      <c r="L49" s="6" t="s">
        <v>180</v>
      </c>
    </row>
    <row r="50" spans="1:12">
      <c r="A50" s="6" t="s">
        <v>181</v>
      </c>
      <c r="B50" s="6" t="s">
        <v>78</v>
      </c>
      <c r="C50" s="18">
        <v>0.00419437992502189</v>
      </c>
      <c r="D50" s="11" t="s">
        <v>45</v>
      </c>
      <c r="E50" s="11">
        <v>0</v>
      </c>
      <c r="F50" s="11">
        <v>0.05</v>
      </c>
      <c r="G50" s="11" t="s">
        <v>179</v>
      </c>
      <c r="H50" s="11" t="s">
        <v>80</v>
      </c>
      <c r="I50" s="11" t="s">
        <v>81</v>
      </c>
      <c r="J50" s="11" t="s">
        <v>82</v>
      </c>
      <c r="K50" s="11" t="s">
        <v>83</v>
      </c>
      <c r="L50" s="6" t="s">
        <v>182</v>
      </c>
    </row>
    <row r="51" spans="1:12">
      <c r="A51" s="6" t="s">
        <v>183</v>
      </c>
      <c r="B51" s="6" t="s">
        <v>78</v>
      </c>
      <c r="C51" s="11" t="s">
        <v>184</v>
      </c>
      <c r="D51" s="11" t="s">
        <v>45</v>
      </c>
      <c r="E51" s="11">
        <v>0</v>
      </c>
      <c r="F51" s="11">
        <v>32</v>
      </c>
      <c r="G51" s="11" t="s">
        <v>79</v>
      </c>
      <c r="H51" s="11" t="s">
        <v>80</v>
      </c>
      <c r="I51" s="11" t="s">
        <v>81</v>
      </c>
      <c r="J51" s="11" t="s">
        <v>82</v>
      </c>
      <c r="K51" s="11" t="s">
        <v>83</v>
      </c>
      <c r="L51" s="6" t="s">
        <v>185</v>
      </c>
    </row>
    <row r="52" spans="1:12">
      <c r="A52" s="6" t="s">
        <v>186</v>
      </c>
      <c r="B52" s="6" t="s">
        <v>78</v>
      </c>
      <c r="C52" s="11" t="s">
        <v>187</v>
      </c>
      <c r="D52" s="11" t="s">
        <v>45</v>
      </c>
      <c r="E52" s="11">
        <v>0</v>
      </c>
      <c r="F52" s="11">
        <v>1</v>
      </c>
      <c r="G52" s="11" t="s">
        <v>188</v>
      </c>
      <c r="H52" s="11" t="s">
        <v>80</v>
      </c>
      <c r="I52" s="11" t="s">
        <v>81</v>
      </c>
      <c r="J52" s="11" t="s">
        <v>82</v>
      </c>
      <c r="K52" s="11" t="s">
        <v>83</v>
      </c>
      <c r="L52" s="6" t="s">
        <v>189</v>
      </c>
    </row>
    <row r="53" spans="1:12">
      <c r="A53" s="6" t="s">
        <v>190</v>
      </c>
      <c r="B53" s="6" t="s">
        <v>78</v>
      </c>
      <c r="C53" s="11">
        <v>0.0368162111435344</v>
      </c>
      <c r="D53" s="11" t="s">
        <v>45</v>
      </c>
      <c r="E53" s="11">
        <v>0</v>
      </c>
      <c r="F53" s="11">
        <v>1</v>
      </c>
      <c r="G53" s="11" t="s">
        <v>79</v>
      </c>
      <c r="H53" s="11" t="s">
        <v>80</v>
      </c>
      <c r="I53" s="11" t="s">
        <v>81</v>
      </c>
      <c r="J53" s="11" t="s">
        <v>82</v>
      </c>
      <c r="K53" s="11" t="s">
        <v>83</v>
      </c>
      <c r="L53" s="6" t="s">
        <v>191</v>
      </c>
    </row>
    <row r="54" spans="1:12">
      <c r="A54" s="6" t="s">
        <v>192</v>
      </c>
      <c r="B54" s="6" t="s">
        <v>78</v>
      </c>
      <c r="C54" s="11">
        <v>0.98</v>
      </c>
      <c r="D54" s="11" t="s">
        <v>45</v>
      </c>
      <c r="E54" s="11">
        <v>0</v>
      </c>
      <c r="F54" s="11">
        <v>1.1</v>
      </c>
      <c r="G54" s="11" t="s">
        <v>79</v>
      </c>
      <c r="H54" s="11" t="s">
        <v>80</v>
      </c>
      <c r="I54" s="11" t="s">
        <v>81</v>
      </c>
      <c r="J54" s="11" t="s">
        <v>82</v>
      </c>
      <c r="K54" s="11" t="s">
        <v>83</v>
      </c>
      <c r="L54" s="6" t="s">
        <v>193</v>
      </c>
    </row>
    <row r="55" spans="1:12">
      <c r="A55" s="6" t="s">
        <v>194</v>
      </c>
      <c r="B55" s="6" t="s">
        <v>78</v>
      </c>
      <c r="C55" s="11">
        <v>0.95</v>
      </c>
      <c r="D55" s="11" t="s">
        <v>45</v>
      </c>
      <c r="E55" s="11">
        <v>0</v>
      </c>
      <c r="F55" s="11">
        <v>1</v>
      </c>
      <c r="G55" s="11" t="s">
        <v>79</v>
      </c>
      <c r="H55" s="11" t="s">
        <v>80</v>
      </c>
      <c r="I55" s="11" t="s">
        <v>81</v>
      </c>
      <c r="J55" s="11" t="s">
        <v>82</v>
      </c>
      <c r="K55" s="11" t="s">
        <v>83</v>
      </c>
      <c r="L55" s="6" t="s">
        <v>195</v>
      </c>
    </row>
    <row r="56" spans="1:12">
      <c r="A56" s="6" t="s">
        <v>196</v>
      </c>
      <c r="B56" s="6" t="s">
        <v>78</v>
      </c>
      <c r="C56" s="11">
        <v>20</v>
      </c>
      <c r="D56" s="11" t="s">
        <v>45</v>
      </c>
      <c r="E56" s="11">
        <v>0</v>
      </c>
      <c r="F56" s="11">
        <v>1024</v>
      </c>
      <c r="G56" s="11" t="s">
        <v>79</v>
      </c>
      <c r="H56" s="11" t="s">
        <v>80</v>
      </c>
      <c r="I56" s="11" t="s">
        <v>81</v>
      </c>
      <c r="J56" s="11" t="s">
        <v>82</v>
      </c>
      <c r="K56" s="11" t="s">
        <v>83</v>
      </c>
      <c r="L56" s="6" t="s">
        <v>197</v>
      </c>
    </row>
    <row r="57" spans="1:12">
      <c r="A57" s="6" t="s">
        <v>198</v>
      </c>
      <c r="B57" s="6" t="s">
        <v>78</v>
      </c>
      <c r="C57" s="11">
        <v>0.2</v>
      </c>
      <c r="D57" s="11" t="s">
        <v>45</v>
      </c>
      <c r="E57" s="11">
        <v>0</v>
      </c>
      <c r="F57" s="11">
        <v>32</v>
      </c>
      <c r="G57" s="11" t="s">
        <v>79</v>
      </c>
      <c r="H57" s="11" t="s">
        <v>80</v>
      </c>
      <c r="I57" s="11" t="s">
        <v>81</v>
      </c>
      <c r="J57" s="11" t="s">
        <v>82</v>
      </c>
      <c r="K57" s="11" t="s">
        <v>83</v>
      </c>
      <c r="L57" s="6" t="s">
        <v>199</v>
      </c>
    </row>
    <row r="58" spans="1:12">
      <c r="A58" s="6" t="s">
        <v>200</v>
      </c>
      <c r="B58" s="6" t="s">
        <v>78</v>
      </c>
      <c r="C58" s="11">
        <v>1</v>
      </c>
      <c r="D58" s="11" t="s">
        <v>45</v>
      </c>
      <c r="E58" s="11">
        <v>0</v>
      </c>
      <c r="F58" s="11">
        <v>10</v>
      </c>
      <c r="G58" s="11" t="s">
        <v>201</v>
      </c>
      <c r="H58" s="11" t="s">
        <v>80</v>
      </c>
      <c r="I58" s="11" t="s">
        <v>81</v>
      </c>
      <c r="J58" s="11" t="s">
        <v>82</v>
      </c>
      <c r="K58" s="11" t="s">
        <v>83</v>
      </c>
      <c r="L58" s="6" t="s">
        <v>202</v>
      </c>
    </row>
    <row r="59" spans="1:12">
      <c r="A59" s="6" t="s">
        <v>203</v>
      </c>
      <c r="B59" s="6" t="s">
        <v>78</v>
      </c>
      <c r="C59" s="11">
        <v>5</v>
      </c>
      <c r="D59" s="11" t="s">
        <v>45</v>
      </c>
      <c r="E59" s="11">
        <v>0</v>
      </c>
      <c r="F59" s="11">
        <v>32</v>
      </c>
      <c r="G59" s="11" t="s">
        <v>94</v>
      </c>
      <c r="H59" s="11" t="s">
        <v>80</v>
      </c>
      <c r="I59" s="11" t="s">
        <v>81</v>
      </c>
      <c r="J59" s="11" t="s">
        <v>82</v>
      </c>
      <c r="K59" s="11" t="s">
        <v>83</v>
      </c>
      <c r="L59" s="6" t="s">
        <v>204</v>
      </c>
    </row>
    <row r="60" spans="1:12">
      <c r="A60" s="6" t="s">
        <v>205</v>
      </c>
      <c r="B60" s="6" t="s">
        <v>78</v>
      </c>
      <c r="C60" s="11">
        <v>500</v>
      </c>
      <c r="D60" s="11" t="s">
        <v>45</v>
      </c>
      <c r="E60" s="11">
        <v>-1000</v>
      </c>
      <c r="F60" s="11">
        <v>1000</v>
      </c>
      <c r="G60" s="11" t="s">
        <v>169</v>
      </c>
      <c r="H60" s="11" t="s">
        <v>80</v>
      </c>
      <c r="I60" s="11" t="s">
        <v>81</v>
      </c>
      <c r="J60" s="11" t="s">
        <v>82</v>
      </c>
      <c r="K60" s="11" t="s">
        <v>83</v>
      </c>
      <c r="L60" s="6" t="s">
        <v>206</v>
      </c>
    </row>
    <row r="61" spans="1:12">
      <c r="A61" s="6" t="s">
        <v>207</v>
      </c>
      <c r="B61" s="6" t="s">
        <v>78</v>
      </c>
      <c r="C61" s="11">
        <v>-100</v>
      </c>
      <c r="D61" s="11" t="s">
        <v>45</v>
      </c>
      <c r="E61" s="11">
        <v>-512</v>
      </c>
      <c r="F61" s="11">
        <v>0</v>
      </c>
      <c r="G61" s="11" t="s">
        <v>172</v>
      </c>
      <c r="H61" s="11" t="s">
        <v>80</v>
      </c>
      <c r="I61" s="11" t="s">
        <v>81</v>
      </c>
      <c r="J61" s="11" t="s">
        <v>82</v>
      </c>
      <c r="K61" s="11" t="s">
        <v>83</v>
      </c>
      <c r="L61" s="6" t="s">
        <v>208</v>
      </c>
    </row>
    <row r="62" spans="1:12">
      <c r="A62" s="6" t="s">
        <v>209</v>
      </c>
      <c r="B62" s="6" t="s">
        <v>78</v>
      </c>
      <c r="C62" s="11">
        <v>-5</v>
      </c>
      <c r="D62" s="11" t="s">
        <v>45</v>
      </c>
      <c r="E62" s="11">
        <v>-100</v>
      </c>
      <c r="F62" s="11">
        <v>100</v>
      </c>
      <c r="G62" s="11" t="s">
        <v>94</v>
      </c>
      <c r="H62" s="11" t="s">
        <v>80</v>
      </c>
      <c r="I62" s="11" t="s">
        <v>81</v>
      </c>
      <c r="J62" s="11" t="s">
        <v>82</v>
      </c>
      <c r="K62" s="11" t="s">
        <v>83</v>
      </c>
      <c r="L62" s="6" t="s">
        <v>204</v>
      </c>
    </row>
    <row r="63" spans="1:12">
      <c r="A63" s="6" t="s">
        <v>210</v>
      </c>
      <c r="B63" s="6" t="s">
        <v>78</v>
      </c>
      <c r="C63" s="11">
        <v>-500</v>
      </c>
      <c r="D63" s="11" t="s">
        <v>45</v>
      </c>
      <c r="E63" s="11">
        <v>-1000</v>
      </c>
      <c r="F63" s="11">
        <v>1000</v>
      </c>
      <c r="G63" s="11" t="s">
        <v>169</v>
      </c>
      <c r="H63" s="11" t="s">
        <v>80</v>
      </c>
      <c r="I63" s="11" t="s">
        <v>81</v>
      </c>
      <c r="J63" s="11" t="s">
        <v>82</v>
      </c>
      <c r="K63" s="11" t="s">
        <v>83</v>
      </c>
      <c r="L63" s="6" t="s">
        <v>211</v>
      </c>
    </row>
    <row r="64" spans="1:12">
      <c r="A64" s="6" t="s">
        <v>212</v>
      </c>
      <c r="B64" s="6" t="s">
        <v>78</v>
      </c>
      <c r="C64" s="11">
        <v>0</v>
      </c>
      <c r="D64" s="11" t="s">
        <v>45</v>
      </c>
      <c r="E64" s="11">
        <v>0</v>
      </c>
      <c r="F64" s="11">
        <v>32</v>
      </c>
      <c r="G64" s="11" t="s">
        <v>79</v>
      </c>
      <c r="H64" s="11" t="s">
        <v>80</v>
      </c>
      <c r="I64" s="11" t="s">
        <v>81</v>
      </c>
      <c r="J64" s="11" t="s">
        <v>82</v>
      </c>
      <c r="K64" s="11" t="s">
        <v>83</v>
      </c>
      <c r="L64" s="6" t="s">
        <v>213</v>
      </c>
    </row>
    <row r="65" spans="1:12">
      <c r="A65" s="6" t="s">
        <v>214</v>
      </c>
      <c r="B65" s="6" t="s">
        <v>78</v>
      </c>
      <c r="C65" s="11">
        <v>50</v>
      </c>
      <c r="D65" s="11" t="s">
        <v>45</v>
      </c>
      <c r="E65" s="11">
        <v>0</v>
      </c>
      <c r="F65" s="11">
        <v>1024</v>
      </c>
      <c r="G65" s="11" t="s">
        <v>79</v>
      </c>
      <c r="H65" s="11" t="s">
        <v>80</v>
      </c>
      <c r="I65" s="11" t="s">
        <v>81</v>
      </c>
      <c r="J65" s="11" t="s">
        <v>82</v>
      </c>
      <c r="K65" s="11" t="s">
        <v>83</v>
      </c>
      <c r="L65" s="6" t="s">
        <v>215</v>
      </c>
    </row>
    <row r="66" spans="1:12">
      <c r="A66" s="6" t="s">
        <v>216</v>
      </c>
      <c r="B66" s="6" t="s">
        <v>78</v>
      </c>
      <c r="C66" s="11">
        <v>20</v>
      </c>
      <c r="D66" s="11" t="s">
        <v>45</v>
      </c>
      <c r="E66" s="11">
        <v>-2000</v>
      </c>
      <c r="F66" s="11">
        <v>2000</v>
      </c>
      <c r="G66" s="11" t="s">
        <v>217</v>
      </c>
      <c r="H66" s="11" t="s">
        <v>80</v>
      </c>
      <c r="I66" s="11" t="s">
        <v>81</v>
      </c>
      <c r="J66" s="11" t="s">
        <v>82</v>
      </c>
      <c r="K66" s="11" t="s">
        <v>83</v>
      </c>
      <c r="L66" s="6" t="s">
        <v>218</v>
      </c>
    </row>
    <row r="67" spans="1:12">
      <c r="A67" s="6" t="s">
        <v>219</v>
      </c>
      <c r="B67" s="6" t="s">
        <v>78</v>
      </c>
      <c r="C67" s="11">
        <v>50</v>
      </c>
      <c r="D67" s="11" t="s">
        <v>45</v>
      </c>
      <c r="E67" s="11">
        <v>-2000</v>
      </c>
      <c r="F67" s="11">
        <v>2000</v>
      </c>
      <c r="G67" s="11" t="s">
        <v>217</v>
      </c>
      <c r="H67" s="11" t="s">
        <v>80</v>
      </c>
      <c r="I67" s="11" t="s">
        <v>81</v>
      </c>
      <c r="J67" s="11" t="s">
        <v>82</v>
      </c>
      <c r="K67" s="11" t="s">
        <v>83</v>
      </c>
      <c r="L67" s="6" t="s">
        <v>220</v>
      </c>
    </row>
    <row r="68" spans="1:12">
      <c r="A68" s="21" t="s">
        <v>221</v>
      </c>
      <c r="B68" s="6" t="s">
        <v>78</v>
      </c>
      <c r="C68" s="11">
        <v>300</v>
      </c>
      <c r="D68" s="11" t="s">
        <v>45</v>
      </c>
      <c r="E68" s="11">
        <v>-1000</v>
      </c>
      <c r="F68" s="11">
        <v>1000</v>
      </c>
      <c r="G68" s="11" t="s">
        <v>172</v>
      </c>
      <c r="H68" s="11" t="s">
        <v>80</v>
      </c>
      <c r="I68" s="11" t="s">
        <v>81</v>
      </c>
      <c r="J68" s="11" t="s">
        <v>82</v>
      </c>
      <c r="K68" s="11" t="s">
        <v>83</v>
      </c>
      <c r="L68" s="6" t="s">
        <v>222</v>
      </c>
    </row>
    <row r="69" spans="1:12">
      <c r="A69" s="19" t="s">
        <v>223</v>
      </c>
      <c r="B69" s="6" t="s">
        <v>78</v>
      </c>
      <c r="C69" s="11">
        <v>-300</v>
      </c>
      <c r="D69" s="11" t="s">
        <v>45</v>
      </c>
      <c r="E69" s="11">
        <v>-1000</v>
      </c>
      <c r="F69" s="11">
        <v>1000</v>
      </c>
      <c r="G69" s="11" t="s">
        <v>172</v>
      </c>
      <c r="H69" s="11" t="s">
        <v>80</v>
      </c>
      <c r="I69" s="11" t="s">
        <v>81</v>
      </c>
      <c r="J69" s="11" t="s">
        <v>82</v>
      </c>
      <c r="K69" s="11" t="s">
        <v>83</v>
      </c>
      <c r="L69" s="6" t="s">
        <v>224</v>
      </c>
    </row>
    <row r="70" spans="1:12">
      <c r="A70" s="19" t="s">
        <v>225</v>
      </c>
      <c r="B70" s="6" t="s">
        <v>78</v>
      </c>
      <c r="C70" s="11">
        <v>420</v>
      </c>
      <c r="D70" s="11" t="s">
        <v>45</v>
      </c>
      <c r="E70" s="11">
        <v>0</v>
      </c>
      <c r="F70" s="11">
        <v>1000</v>
      </c>
      <c r="G70" s="11" t="s">
        <v>108</v>
      </c>
      <c r="H70" s="11" t="s">
        <v>80</v>
      </c>
      <c r="I70" s="11" t="s">
        <v>81</v>
      </c>
      <c r="J70" s="11" t="s">
        <v>82</v>
      </c>
      <c r="K70" s="11" t="s">
        <v>83</v>
      </c>
      <c r="L70" s="6" t="s">
        <v>226</v>
      </c>
    </row>
    <row r="71" spans="1:12">
      <c r="A71" s="19" t="s">
        <v>227</v>
      </c>
      <c r="B71" s="6" t="s">
        <v>78</v>
      </c>
      <c r="C71" s="11">
        <v>280</v>
      </c>
      <c r="D71" s="11" t="s">
        <v>45</v>
      </c>
      <c r="E71" s="11">
        <v>0</v>
      </c>
      <c r="F71" s="11">
        <v>1000</v>
      </c>
      <c r="G71" s="11" t="s">
        <v>108</v>
      </c>
      <c r="H71" s="11" t="s">
        <v>80</v>
      </c>
      <c r="I71" s="11" t="s">
        <v>81</v>
      </c>
      <c r="J71" s="11" t="s">
        <v>82</v>
      </c>
      <c r="K71" s="11" t="s">
        <v>83</v>
      </c>
      <c r="L71" s="6" t="s">
        <v>228</v>
      </c>
    </row>
    <row r="72" spans="1:12">
      <c r="A72" s="19" t="s">
        <v>229</v>
      </c>
      <c r="B72" s="6" t="s">
        <v>78</v>
      </c>
      <c r="C72" s="11">
        <v>1</v>
      </c>
      <c r="D72" s="11" t="s">
        <v>45</v>
      </c>
      <c r="E72" s="11">
        <v>0</v>
      </c>
      <c r="F72" s="11">
        <v>16</v>
      </c>
      <c r="G72" s="11" t="s">
        <v>79</v>
      </c>
      <c r="H72" s="11" t="s">
        <v>80</v>
      </c>
      <c r="I72" s="11" t="s">
        <v>81</v>
      </c>
      <c r="J72" s="11" t="s">
        <v>82</v>
      </c>
      <c r="K72" s="11" t="s">
        <v>83</v>
      </c>
      <c r="L72" s="6" t="s">
        <v>230</v>
      </c>
    </row>
    <row r="73" spans="1:12">
      <c r="A73" s="19" t="s">
        <v>231</v>
      </c>
      <c r="B73" s="6" t="s">
        <v>78</v>
      </c>
      <c r="C73" s="11">
        <v>1000</v>
      </c>
      <c r="D73" s="11" t="s">
        <v>45</v>
      </c>
      <c r="E73" s="11">
        <v>0</v>
      </c>
      <c r="F73" s="11">
        <v>1000000</v>
      </c>
      <c r="G73" s="11" t="s">
        <v>79</v>
      </c>
      <c r="H73" s="11" t="s">
        <v>80</v>
      </c>
      <c r="I73" s="11" t="s">
        <v>81</v>
      </c>
      <c r="J73" s="11" t="s">
        <v>82</v>
      </c>
      <c r="K73" s="11" t="s">
        <v>83</v>
      </c>
      <c r="L73" s="6" t="s">
        <v>232</v>
      </c>
    </row>
    <row r="74" spans="1:12">
      <c r="A74" s="19" t="s">
        <v>233</v>
      </c>
      <c r="B74" s="6" t="s">
        <v>78</v>
      </c>
      <c r="C74" s="11">
        <v>1000</v>
      </c>
      <c r="D74" s="11" t="s">
        <v>45</v>
      </c>
      <c r="E74" s="11">
        <v>0</v>
      </c>
      <c r="F74" s="11">
        <v>1000000</v>
      </c>
      <c r="G74" s="11" t="s">
        <v>79</v>
      </c>
      <c r="H74" s="11" t="s">
        <v>80</v>
      </c>
      <c r="I74" s="11" t="s">
        <v>81</v>
      </c>
      <c r="J74" s="11" t="s">
        <v>82</v>
      </c>
      <c r="K74" s="11" t="s">
        <v>83</v>
      </c>
      <c r="L74" s="6" t="s">
        <v>232</v>
      </c>
    </row>
    <row r="75" spans="1:12">
      <c r="A75" s="19" t="s">
        <v>234</v>
      </c>
      <c r="B75" s="6" t="s">
        <v>78</v>
      </c>
      <c r="C75" s="11">
        <v>0</v>
      </c>
      <c r="D75" s="11" t="s">
        <v>45</v>
      </c>
      <c r="E75" s="11">
        <v>-20000</v>
      </c>
      <c r="F75" s="11">
        <v>20000</v>
      </c>
      <c r="G75" s="11" t="s">
        <v>235</v>
      </c>
      <c r="H75" s="11" t="s">
        <v>80</v>
      </c>
      <c r="I75" s="11" t="s">
        <v>81</v>
      </c>
      <c r="J75" s="11" t="s">
        <v>82</v>
      </c>
      <c r="K75" s="11" t="s">
        <v>83</v>
      </c>
      <c r="L75" s="6" t="s">
        <v>236</v>
      </c>
    </row>
    <row r="76" spans="1:12">
      <c r="A76" s="19" t="s">
        <v>237</v>
      </c>
      <c r="B76" s="6" t="s">
        <v>78</v>
      </c>
      <c r="C76" s="11">
        <v>350</v>
      </c>
      <c r="D76" s="11" t="s">
        <v>45</v>
      </c>
      <c r="E76" s="11">
        <v>-512</v>
      </c>
      <c r="F76" s="11">
        <v>512</v>
      </c>
      <c r="G76" s="11" t="s">
        <v>94</v>
      </c>
      <c r="H76" s="11" t="s">
        <v>80</v>
      </c>
      <c r="I76" s="11" t="s">
        <v>81</v>
      </c>
      <c r="J76" s="11" t="s">
        <v>82</v>
      </c>
      <c r="K76" s="11" t="s">
        <v>83</v>
      </c>
      <c r="L76" s="6" t="s">
        <v>236</v>
      </c>
    </row>
    <row r="77" spans="1:12">
      <c r="A77" s="19" t="s">
        <v>238</v>
      </c>
      <c r="B77" s="6" t="s">
        <v>78</v>
      </c>
      <c r="C77" s="11">
        <v>-350</v>
      </c>
      <c r="D77" s="11" t="s">
        <v>45</v>
      </c>
      <c r="E77" s="11">
        <v>-512</v>
      </c>
      <c r="F77" s="11">
        <v>512</v>
      </c>
      <c r="G77" s="11" t="s">
        <v>94</v>
      </c>
      <c r="H77" s="11" t="s">
        <v>80</v>
      </c>
      <c r="I77" s="11" t="s">
        <v>81</v>
      </c>
      <c r="J77" s="11" t="s">
        <v>82</v>
      </c>
      <c r="K77" s="11" t="s">
        <v>83</v>
      </c>
      <c r="L77" s="6" t="s">
        <v>236</v>
      </c>
    </row>
    <row r="78" spans="1:12">
      <c r="A78" s="19" t="s">
        <v>239</v>
      </c>
      <c r="B78" s="6" t="s">
        <v>78</v>
      </c>
      <c r="C78" s="11">
        <v>390</v>
      </c>
      <c r="D78" s="11" t="s">
        <v>45</v>
      </c>
      <c r="E78" s="11">
        <v>-512</v>
      </c>
      <c r="F78" s="11">
        <v>512</v>
      </c>
      <c r="G78" s="11" t="s">
        <v>94</v>
      </c>
      <c r="H78" s="11" t="s">
        <v>80</v>
      </c>
      <c r="I78" s="11" t="s">
        <v>81</v>
      </c>
      <c r="J78" s="11" t="s">
        <v>82</v>
      </c>
      <c r="K78" s="11" t="s">
        <v>83</v>
      </c>
      <c r="L78" s="6" t="s">
        <v>240</v>
      </c>
    </row>
    <row r="79" spans="1:12">
      <c r="A79" s="19" t="s">
        <v>241</v>
      </c>
      <c r="B79" s="6" t="s">
        <v>78</v>
      </c>
      <c r="C79" s="11">
        <v>-390</v>
      </c>
      <c r="D79" s="11" t="s">
        <v>45</v>
      </c>
      <c r="E79" s="11">
        <v>-512</v>
      </c>
      <c r="F79" s="11">
        <v>512</v>
      </c>
      <c r="G79" s="11" t="s">
        <v>94</v>
      </c>
      <c r="H79" s="11" t="s">
        <v>80</v>
      </c>
      <c r="I79" s="11" t="s">
        <v>81</v>
      </c>
      <c r="J79" s="11" t="s">
        <v>82</v>
      </c>
      <c r="K79" s="11" t="s">
        <v>83</v>
      </c>
      <c r="L79" s="6" t="s">
        <v>242</v>
      </c>
    </row>
    <row r="80" spans="1:12">
      <c r="A80" s="19" t="s">
        <v>243</v>
      </c>
      <c r="B80" s="6" t="s">
        <v>78</v>
      </c>
      <c r="C80" s="11">
        <v>17500</v>
      </c>
      <c r="D80" s="11" t="s">
        <v>45</v>
      </c>
      <c r="E80" s="11">
        <v>0</v>
      </c>
      <c r="F80" s="11">
        <v>32767</v>
      </c>
      <c r="G80" s="11" t="s">
        <v>244</v>
      </c>
      <c r="H80" s="11" t="s">
        <v>80</v>
      </c>
      <c r="I80" s="11" t="s">
        <v>81</v>
      </c>
      <c r="J80" s="11" t="s">
        <v>82</v>
      </c>
      <c r="K80" s="11" t="s">
        <v>83</v>
      </c>
      <c r="L80" s="6" t="s">
        <v>245</v>
      </c>
    </row>
    <row r="81" spans="1:12">
      <c r="A81" s="19" t="s">
        <v>246</v>
      </c>
      <c r="B81" s="6" t="s">
        <v>78</v>
      </c>
      <c r="C81" s="11">
        <v>0</v>
      </c>
      <c r="D81" s="11" t="s">
        <v>45</v>
      </c>
      <c r="E81" s="11">
        <v>-20000</v>
      </c>
      <c r="F81" s="11">
        <v>20000</v>
      </c>
      <c r="G81" s="11" t="s">
        <v>235</v>
      </c>
      <c r="H81" s="11" t="s">
        <v>80</v>
      </c>
      <c r="I81" s="11" t="s">
        <v>81</v>
      </c>
      <c r="J81" s="11" t="s">
        <v>82</v>
      </c>
      <c r="K81" s="11" t="s">
        <v>83</v>
      </c>
      <c r="L81" s="6" t="s">
        <v>247</v>
      </c>
    </row>
    <row r="82" spans="1:12">
      <c r="A82" s="19" t="s">
        <v>248</v>
      </c>
      <c r="B82" s="6" t="s">
        <v>78</v>
      </c>
      <c r="C82" s="11">
        <v>0</v>
      </c>
      <c r="D82" s="11" t="s">
        <v>45</v>
      </c>
      <c r="E82" s="11">
        <v>-512</v>
      </c>
      <c r="F82" s="11">
        <v>512</v>
      </c>
      <c r="G82" s="11" t="s">
        <v>94</v>
      </c>
      <c r="H82" s="11" t="s">
        <v>80</v>
      </c>
      <c r="I82" s="11" t="s">
        <v>81</v>
      </c>
      <c r="J82" s="11" t="s">
        <v>82</v>
      </c>
      <c r="K82" s="11" t="s">
        <v>83</v>
      </c>
      <c r="L82" s="6" t="s">
        <v>249</v>
      </c>
    </row>
    <row r="83" spans="1:12">
      <c r="A83" s="19" t="s">
        <v>250</v>
      </c>
      <c r="B83" s="6" t="s">
        <v>78</v>
      </c>
      <c r="C83" s="11">
        <v>0</v>
      </c>
      <c r="D83" s="11" t="s">
        <v>45</v>
      </c>
      <c r="E83" s="11">
        <v>0</v>
      </c>
      <c r="F83" s="11">
        <v>1000</v>
      </c>
      <c r="G83" s="11" t="s">
        <v>108</v>
      </c>
      <c r="H83" s="11" t="s">
        <v>80</v>
      </c>
      <c r="I83" s="11" t="s">
        <v>81</v>
      </c>
      <c r="J83" s="11" t="s">
        <v>82</v>
      </c>
      <c r="K83" s="11" t="s">
        <v>83</v>
      </c>
      <c r="L83" s="6" t="s">
        <v>251</v>
      </c>
    </row>
    <row r="84" spans="1:12">
      <c r="A84" s="19" t="s">
        <v>252</v>
      </c>
      <c r="B84" s="6" t="s">
        <v>78</v>
      </c>
      <c r="C84" s="11" t="s">
        <v>253</v>
      </c>
      <c r="D84" s="11" t="s">
        <v>48</v>
      </c>
      <c r="E84" s="11" t="s">
        <v>254</v>
      </c>
      <c r="F84" s="11" t="s">
        <v>254</v>
      </c>
      <c r="G84" s="11" t="s">
        <v>79</v>
      </c>
      <c r="H84" s="11" t="s">
        <v>80</v>
      </c>
      <c r="I84" s="11" t="s">
        <v>81</v>
      </c>
      <c r="J84" s="11" t="s">
        <v>82</v>
      </c>
      <c r="K84" s="11" t="s">
        <v>83</v>
      </c>
      <c r="L84" s="6" t="s">
        <v>255</v>
      </c>
    </row>
    <row r="85" spans="1:12">
      <c r="A85" s="19" t="s">
        <v>256</v>
      </c>
      <c r="B85" s="6" t="s">
        <v>78</v>
      </c>
      <c r="C85" s="11">
        <v>0</v>
      </c>
      <c r="D85" s="11" t="s">
        <v>45</v>
      </c>
      <c r="E85" s="11">
        <v>-2000</v>
      </c>
      <c r="F85" s="11">
        <v>2000</v>
      </c>
      <c r="G85" s="11" t="s">
        <v>217</v>
      </c>
      <c r="H85" s="11" t="s">
        <v>80</v>
      </c>
      <c r="I85" s="11" t="s">
        <v>81</v>
      </c>
      <c r="J85" s="11" t="s">
        <v>82</v>
      </c>
      <c r="K85" s="11" t="s">
        <v>83</v>
      </c>
      <c r="L85" s="6" t="s">
        <v>257</v>
      </c>
    </row>
    <row r="86" spans="1:12">
      <c r="A86" s="19" t="s">
        <v>258</v>
      </c>
      <c r="B86" s="6" t="s">
        <v>78</v>
      </c>
      <c r="C86" s="11">
        <v>0</v>
      </c>
      <c r="D86" s="11" t="s">
        <v>45</v>
      </c>
      <c r="E86" s="11">
        <v>-1000</v>
      </c>
      <c r="F86" s="11">
        <v>1000</v>
      </c>
      <c r="G86" s="11" t="s">
        <v>172</v>
      </c>
      <c r="H86" s="11" t="s">
        <v>80</v>
      </c>
      <c r="I86" s="11" t="s">
        <v>81</v>
      </c>
      <c r="J86" s="11" t="s">
        <v>82</v>
      </c>
      <c r="K86" s="11" t="s">
        <v>83</v>
      </c>
      <c r="L86" s="6" t="s">
        <v>259</v>
      </c>
    </row>
    <row r="87" spans="1:12">
      <c r="A87" s="19" t="s">
        <v>260</v>
      </c>
      <c r="B87" s="6" t="s">
        <v>78</v>
      </c>
      <c r="C87" s="11">
        <v>0</v>
      </c>
      <c r="D87" s="11" t="s">
        <v>45</v>
      </c>
      <c r="E87" s="11">
        <v>-32768</v>
      </c>
      <c r="F87" s="11">
        <v>32767</v>
      </c>
      <c r="G87" s="11" t="s">
        <v>79</v>
      </c>
      <c r="H87" s="11" t="s">
        <v>80</v>
      </c>
      <c r="I87" s="11" t="s">
        <v>81</v>
      </c>
      <c r="J87" s="11" t="s">
        <v>82</v>
      </c>
      <c r="K87" s="11" t="s">
        <v>83</v>
      </c>
      <c r="L87" s="6" t="s">
        <v>261</v>
      </c>
    </row>
    <row r="88" spans="1:12">
      <c r="A88" s="19" t="s">
        <v>262</v>
      </c>
      <c r="B88" s="6" t="s">
        <v>78</v>
      </c>
      <c r="C88" s="11">
        <v>0</v>
      </c>
      <c r="D88" s="11" t="s">
        <v>46</v>
      </c>
      <c r="E88" s="11">
        <v>0</v>
      </c>
      <c r="F88" s="11">
        <v>1</v>
      </c>
      <c r="G88" s="11" t="s">
        <v>79</v>
      </c>
      <c r="H88" s="11" t="s">
        <v>80</v>
      </c>
      <c r="I88" s="11" t="s">
        <v>81</v>
      </c>
      <c r="J88" s="11" t="s">
        <v>82</v>
      </c>
      <c r="K88" s="11" t="s">
        <v>83</v>
      </c>
      <c r="L88" s="6" t="s">
        <v>263</v>
      </c>
    </row>
    <row r="89" spans="1:12">
      <c r="A89" s="19" t="s">
        <v>264</v>
      </c>
      <c r="B89" s="6" t="s">
        <v>78</v>
      </c>
      <c r="C89" s="11">
        <v>0</v>
      </c>
      <c r="D89" s="11" t="s">
        <v>46</v>
      </c>
      <c r="E89" s="11">
        <v>0</v>
      </c>
      <c r="F89" s="11">
        <v>1</v>
      </c>
      <c r="G89" s="11" t="s">
        <v>79</v>
      </c>
      <c r="H89" s="11" t="s">
        <v>80</v>
      </c>
      <c r="I89" s="11" t="s">
        <v>81</v>
      </c>
      <c r="J89" s="11" t="s">
        <v>82</v>
      </c>
      <c r="K89" s="11" t="s">
        <v>83</v>
      </c>
      <c r="L89" s="6" t="s">
        <v>265</v>
      </c>
    </row>
    <row r="90" spans="1:12">
      <c r="A90" s="22" t="s">
        <v>266</v>
      </c>
      <c r="B90" s="6" t="s">
        <v>78</v>
      </c>
      <c r="C90" s="11">
        <v>0</v>
      </c>
      <c r="D90" s="11" t="s">
        <v>46</v>
      </c>
      <c r="E90" s="11">
        <v>0</v>
      </c>
      <c r="F90" s="11">
        <v>1</v>
      </c>
      <c r="G90" s="11" t="s">
        <v>79</v>
      </c>
      <c r="H90" s="11" t="s">
        <v>80</v>
      </c>
      <c r="I90" s="11" t="s">
        <v>81</v>
      </c>
      <c r="J90" s="11" t="s">
        <v>82</v>
      </c>
      <c r="K90" s="11" t="s">
        <v>83</v>
      </c>
      <c r="L90" s="6" t="s">
        <v>267</v>
      </c>
    </row>
    <row r="91" spans="1:12">
      <c r="A91" s="22" t="s">
        <v>268</v>
      </c>
      <c r="B91" s="6" t="s">
        <v>78</v>
      </c>
      <c r="C91" s="11">
        <v>0</v>
      </c>
      <c r="D91" s="11" t="s">
        <v>46</v>
      </c>
      <c r="E91" s="11">
        <v>0</v>
      </c>
      <c r="F91" s="11">
        <v>1</v>
      </c>
      <c r="G91" s="11" t="s">
        <v>79</v>
      </c>
      <c r="H91" s="11" t="s">
        <v>80</v>
      </c>
      <c r="I91" s="11" t="s">
        <v>81</v>
      </c>
      <c r="J91" s="11" t="s">
        <v>82</v>
      </c>
      <c r="K91" s="11" t="s">
        <v>83</v>
      </c>
      <c r="L91" s="6" t="s">
        <v>269</v>
      </c>
    </row>
    <row r="92" spans="1:12">
      <c r="A92" s="22" t="s">
        <v>270</v>
      </c>
      <c r="B92" s="6" t="s">
        <v>78</v>
      </c>
      <c r="C92" s="11">
        <v>0</v>
      </c>
      <c r="D92" s="11" t="s">
        <v>45</v>
      </c>
      <c r="E92" s="11">
        <v>-512</v>
      </c>
      <c r="F92" s="11">
        <v>512</v>
      </c>
      <c r="G92" s="11" t="s">
        <v>94</v>
      </c>
      <c r="H92" s="11" t="s">
        <v>80</v>
      </c>
      <c r="I92" s="11" t="s">
        <v>81</v>
      </c>
      <c r="J92" s="11" t="s">
        <v>82</v>
      </c>
      <c r="K92" s="11" t="s">
        <v>83</v>
      </c>
      <c r="L92" s="6" t="s">
        <v>271</v>
      </c>
    </row>
    <row r="93" spans="1:12">
      <c r="A93" s="22" t="s">
        <v>272</v>
      </c>
      <c r="B93" s="6" t="s">
        <v>78</v>
      </c>
      <c r="C93" s="11">
        <v>0</v>
      </c>
      <c r="D93" s="11" t="s">
        <v>45</v>
      </c>
      <c r="E93" s="11">
        <v>-512</v>
      </c>
      <c r="F93" s="11">
        <v>512</v>
      </c>
      <c r="G93" s="11" t="s">
        <v>94</v>
      </c>
      <c r="H93" s="11" t="s">
        <v>80</v>
      </c>
      <c r="I93" s="11" t="s">
        <v>81</v>
      </c>
      <c r="J93" s="11" t="s">
        <v>82</v>
      </c>
      <c r="K93" s="11" t="s">
        <v>83</v>
      </c>
      <c r="L93" s="6" t="s">
        <v>273</v>
      </c>
    </row>
    <row r="94" spans="1:12">
      <c r="A94" s="22" t="s">
        <v>274</v>
      </c>
      <c r="B94" s="6" t="s">
        <v>78</v>
      </c>
      <c r="C94" s="11">
        <v>0</v>
      </c>
      <c r="D94" s="11" t="s">
        <v>45</v>
      </c>
      <c r="E94" s="11">
        <v>-512</v>
      </c>
      <c r="F94" s="11">
        <v>512</v>
      </c>
      <c r="G94" s="11" t="s">
        <v>79</v>
      </c>
      <c r="H94" s="11" t="s">
        <v>80</v>
      </c>
      <c r="I94" s="11" t="s">
        <v>81</v>
      </c>
      <c r="J94" s="11" t="s">
        <v>82</v>
      </c>
      <c r="K94" s="11" t="s">
        <v>83</v>
      </c>
      <c r="L94" s="6" t="s">
        <v>275</v>
      </c>
    </row>
    <row r="95" spans="1:12">
      <c r="A95" s="22" t="s">
        <v>276</v>
      </c>
      <c r="B95" s="6" t="s">
        <v>78</v>
      </c>
      <c r="C95" s="11">
        <v>1</v>
      </c>
      <c r="D95" s="11" t="s">
        <v>45</v>
      </c>
      <c r="E95" s="11">
        <v>-1000</v>
      </c>
      <c r="F95" s="11">
        <v>1000</v>
      </c>
      <c r="G95" s="11" t="s">
        <v>79</v>
      </c>
      <c r="H95" s="11" t="s">
        <v>80</v>
      </c>
      <c r="I95" s="11" t="s">
        <v>81</v>
      </c>
      <c r="J95" s="11" t="s">
        <v>82</v>
      </c>
      <c r="K95" s="11" t="s">
        <v>83</v>
      </c>
      <c r="L95" s="6" t="s">
        <v>277</v>
      </c>
    </row>
    <row r="96" spans="1:12">
      <c r="A96" s="22" t="s">
        <v>278</v>
      </c>
      <c r="B96" s="6" t="s">
        <v>78</v>
      </c>
      <c r="C96" s="11">
        <v>1</v>
      </c>
      <c r="D96" s="11" t="s">
        <v>45</v>
      </c>
      <c r="E96" s="11">
        <v>-1000</v>
      </c>
      <c r="F96" s="11">
        <v>1000</v>
      </c>
      <c r="G96" s="11" t="s">
        <v>172</v>
      </c>
      <c r="H96" s="11" t="s">
        <v>80</v>
      </c>
      <c r="I96" s="11" t="s">
        <v>81</v>
      </c>
      <c r="J96" s="11" t="s">
        <v>82</v>
      </c>
      <c r="K96" s="11" t="s">
        <v>83</v>
      </c>
      <c r="L96" s="6" t="s">
        <v>279</v>
      </c>
    </row>
    <row r="97" spans="1:12">
      <c r="A97" s="22" t="s">
        <v>280</v>
      </c>
      <c r="B97" s="6" t="s">
        <v>78</v>
      </c>
      <c r="C97" s="11">
        <v>1</v>
      </c>
      <c r="D97" s="11" t="s">
        <v>45</v>
      </c>
      <c r="E97" s="11">
        <v>-1000</v>
      </c>
      <c r="F97" s="11">
        <v>1000</v>
      </c>
      <c r="G97" s="11" t="s">
        <v>172</v>
      </c>
      <c r="H97" s="11" t="s">
        <v>80</v>
      </c>
      <c r="I97" s="11" t="s">
        <v>81</v>
      </c>
      <c r="J97" s="11" t="s">
        <v>82</v>
      </c>
      <c r="K97" s="11" t="s">
        <v>83</v>
      </c>
      <c r="L97" s="6" t="s">
        <v>281</v>
      </c>
    </row>
    <row r="98" spans="1:12">
      <c r="A98" s="22" t="s">
        <v>282</v>
      </c>
      <c r="B98" s="6" t="s">
        <v>78</v>
      </c>
      <c r="C98" s="11">
        <v>1</v>
      </c>
      <c r="D98" s="11" t="s">
        <v>45</v>
      </c>
      <c r="E98" s="11">
        <v>-1000</v>
      </c>
      <c r="F98" s="11">
        <v>1000</v>
      </c>
      <c r="G98" s="11" t="s">
        <v>108</v>
      </c>
      <c r="H98" s="11" t="s">
        <v>80</v>
      </c>
      <c r="I98" s="11" t="s">
        <v>81</v>
      </c>
      <c r="J98" s="11" t="s">
        <v>82</v>
      </c>
      <c r="K98" s="11" t="s">
        <v>83</v>
      </c>
      <c r="L98" s="6" t="s">
        <v>283</v>
      </c>
    </row>
    <row r="99" spans="1:12">
      <c r="A99" s="22" t="s">
        <v>284</v>
      </c>
      <c r="B99" s="6" t="s">
        <v>78</v>
      </c>
      <c r="C99" s="11">
        <v>1</v>
      </c>
      <c r="D99" s="11" t="s">
        <v>45</v>
      </c>
      <c r="E99" s="11">
        <v>-1000</v>
      </c>
      <c r="F99" s="11">
        <v>1000</v>
      </c>
      <c r="G99" s="11" t="s">
        <v>108</v>
      </c>
      <c r="H99" s="11" t="s">
        <v>80</v>
      </c>
      <c r="I99" s="11" t="s">
        <v>81</v>
      </c>
      <c r="J99" s="11" t="s">
        <v>82</v>
      </c>
      <c r="K99" s="11" t="s">
        <v>83</v>
      </c>
      <c r="L99" s="6" t="s">
        <v>285</v>
      </c>
    </row>
    <row r="100" spans="1:12">
      <c r="A100" s="22" t="s">
        <v>286</v>
      </c>
      <c r="B100" s="6" t="s">
        <v>78</v>
      </c>
      <c r="C100" s="11">
        <v>1</v>
      </c>
      <c r="D100" s="11" t="s">
        <v>45</v>
      </c>
      <c r="E100" s="11">
        <v>-1000</v>
      </c>
      <c r="F100" s="11">
        <v>1000</v>
      </c>
      <c r="G100" s="11" t="s">
        <v>108</v>
      </c>
      <c r="H100" s="11" t="s">
        <v>80</v>
      </c>
      <c r="I100" s="11" t="s">
        <v>81</v>
      </c>
      <c r="J100" s="11" t="s">
        <v>82</v>
      </c>
      <c r="K100" s="11" t="s">
        <v>83</v>
      </c>
      <c r="L100" s="6" t="s">
        <v>287</v>
      </c>
    </row>
    <row r="101" spans="1:12">
      <c r="A101" s="22" t="s">
        <v>288</v>
      </c>
      <c r="B101" s="6" t="s">
        <v>78</v>
      </c>
      <c r="C101" s="11">
        <v>1</v>
      </c>
      <c r="D101" s="11" t="s">
        <v>45</v>
      </c>
      <c r="E101" s="11">
        <v>-1000</v>
      </c>
      <c r="F101" s="11">
        <v>1000</v>
      </c>
      <c r="G101" s="11" t="s">
        <v>108</v>
      </c>
      <c r="H101" s="11" t="s">
        <v>80</v>
      </c>
      <c r="I101" s="11" t="s">
        <v>81</v>
      </c>
      <c r="J101" s="11" t="s">
        <v>82</v>
      </c>
      <c r="K101" s="11" t="s">
        <v>83</v>
      </c>
      <c r="L101" s="6" t="s">
        <v>289</v>
      </c>
    </row>
    <row r="102" spans="1:12">
      <c r="A102" s="22" t="s">
        <v>290</v>
      </c>
      <c r="B102" s="6" t="s">
        <v>78</v>
      </c>
      <c r="C102" s="11">
        <v>0</v>
      </c>
      <c r="D102" s="11" t="s">
        <v>45</v>
      </c>
      <c r="E102" s="11">
        <v>0</v>
      </c>
      <c r="F102" s="11">
        <v>16</v>
      </c>
      <c r="G102" s="11" t="s">
        <v>79</v>
      </c>
      <c r="H102" s="11" t="s">
        <v>80</v>
      </c>
      <c r="I102" s="11" t="s">
        <v>81</v>
      </c>
      <c r="J102" s="11" t="s">
        <v>82</v>
      </c>
      <c r="K102" s="11" t="s">
        <v>83</v>
      </c>
      <c r="L102" s="6" t="s">
        <v>291</v>
      </c>
    </row>
    <row r="103" spans="1:12">
      <c r="A103" s="22" t="s">
        <v>292</v>
      </c>
      <c r="B103" s="6" t="s">
        <v>78</v>
      </c>
      <c r="C103" s="11">
        <v>1</v>
      </c>
      <c r="D103" s="11" t="s">
        <v>46</v>
      </c>
      <c r="E103" s="11">
        <v>0</v>
      </c>
      <c r="F103" s="11">
        <v>1</v>
      </c>
      <c r="G103" s="11" t="s">
        <v>79</v>
      </c>
      <c r="H103" s="11" t="s">
        <v>80</v>
      </c>
      <c r="I103" s="11" t="s">
        <v>81</v>
      </c>
      <c r="J103" s="11" t="s">
        <v>82</v>
      </c>
      <c r="K103" s="11" t="s">
        <v>83</v>
      </c>
      <c r="L103" s="6" t="s">
        <v>293</v>
      </c>
    </row>
    <row r="104" spans="1:12">
      <c r="A104" s="22" t="s">
        <v>294</v>
      </c>
      <c r="B104" s="6" t="s">
        <v>78</v>
      </c>
      <c r="C104" s="11">
        <v>1</v>
      </c>
      <c r="D104" s="11" t="s">
        <v>46</v>
      </c>
      <c r="E104" s="11">
        <v>0</v>
      </c>
      <c r="F104" s="11">
        <v>1</v>
      </c>
      <c r="G104" s="11" t="s">
        <v>79</v>
      </c>
      <c r="H104" s="11" t="s">
        <v>80</v>
      </c>
      <c r="I104" s="11" t="s">
        <v>81</v>
      </c>
      <c r="J104" s="11" t="s">
        <v>82</v>
      </c>
      <c r="K104" s="11" t="s">
        <v>83</v>
      </c>
      <c r="L104" s="6" t="s">
        <v>293</v>
      </c>
    </row>
    <row r="105" spans="1:12">
      <c r="A105" s="22" t="s">
        <v>295</v>
      </c>
      <c r="B105" s="6" t="s">
        <v>78</v>
      </c>
      <c r="C105" s="11">
        <v>1</v>
      </c>
      <c r="D105" s="11" t="s">
        <v>46</v>
      </c>
      <c r="E105" s="11">
        <v>0</v>
      </c>
      <c r="F105" s="11">
        <v>1</v>
      </c>
      <c r="G105" s="11" t="s">
        <v>79</v>
      </c>
      <c r="H105" s="11" t="s">
        <v>80</v>
      </c>
      <c r="I105" s="11" t="s">
        <v>81</v>
      </c>
      <c r="J105" s="11" t="s">
        <v>82</v>
      </c>
      <c r="K105" s="11" t="s">
        <v>83</v>
      </c>
      <c r="L105" s="6" t="s">
        <v>293</v>
      </c>
    </row>
    <row r="106" spans="1:12">
      <c r="A106" s="22" t="s">
        <v>296</v>
      </c>
      <c r="B106" s="6" t="s">
        <v>78</v>
      </c>
      <c r="C106" s="11">
        <v>1</v>
      </c>
      <c r="D106" s="11" t="s">
        <v>46</v>
      </c>
      <c r="E106" s="11">
        <v>0</v>
      </c>
      <c r="F106" s="11">
        <v>1</v>
      </c>
      <c r="G106" s="11" t="s">
        <v>79</v>
      </c>
      <c r="H106" s="11" t="s">
        <v>80</v>
      </c>
      <c r="I106" s="11" t="s">
        <v>81</v>
      </c>
      <c r="J106" s="11" t="s">
        <v>82</v>
      </c>
      <c r="K106" s="11" t="s">
        <v>83</v>
      </c>
      <c r="L106" s="6" t="s">
        <v>293</v>
      </c>
    </row>
    <row r="107" spans="1:12">
      <c r="A107" s="22" t="s">
        <v>297</v>
      </c>
      <c r="B107" s="6" t="s">
        <v>78</v>
      </c>
      <c r="C107" s="11">
        <v>1</v>
      </c>
      <c r="D107" s="11" t="s">
        <v>46</v>
      </c>
      <c r="E107" s="11">
        <v>0</v>
      </c>
      <c r="F107" s="11">
        <v>1</v>
      </c>
      <c r="G107" s="11" t="s">
        <v>79</v>
      </c>
      <c r="H107" s="11" t="s">
        <v>80</v>
      </c>
      <c r="I107" s="11" t="s">
        <v>81</v>
      </c>
      <c r="J107" s="11" t="s">
        <v>82</v>
      </c>
      <c r="K107" s="11" t="s">
        <v>83</v>
      </c>
      <c r="L107" s="6" t="s">
        <v>293</v>
      </c>
    </row>
    <row r="108" spans="1:12">
      <c r="A108" s="22" t="s">
        <v>298</v>
      </c>
      <c r="B108" s="6" t="s">
        <v>78</v>
      </c>
      <c r="C108" s="11">
        <v>1</v>
      </c>
      <c r="D108" s="11" t="s">
        <v>46</v>
      </c>
      <c r="E108" s="11">
        <v>0</v>
      </c>
      <c r="F108" s="11">
        <v>1</v>
      </c>
      <c r="G108" s="11" t="s">
        <v>79</v>
      </c>
      <c r="H108" s="11" t="s">
        <v>80</v>
      </c>
      <c r="I108" s="11" t="s">
        <v>81</v>
      </c>
      <c r="J108" s="11" t="s">
        <v>82</v>
      </c>
      <c r="K108" s="11" t="s">
        <v>83</v>
      </c>
      <c r="L108" s="6" t="s">
        <v>293</v>
      </c>
    </row>
    <row r="109" spans="1:12">
      <c r="A109" s="22" t="s">
        <v>299</v>
      </c>
      <c r="B109" s="6" t="s">
        <v>78</v>
      </c>
      <c r="C109" s="11">
        <v>1</v>
      </c>
      <c r="D109" s="11" t="s">
        <v>46</v>
      </c>
      <c r="E109" s="11">
        <v>0</v>
      </c>
      <c r="F109" s="11">
        <v>1</v>
      </c>
      <c r="G109" s="11" t="s">
        <v>79</v>
      </c>
      <c r="H109" s="11" t="s">
        <v>80</v>
      </c>
      <c r="I109" s="11" t="s">
        <v>81</v>
      </c>
      <c r="J109" s="11" t="s">
        <v>82</v>
      </c>
      <c r="K109" s="11" t="s">
        <v>83</v>
      </c>
      <c r="L109" s="6" t="s">
        <v>293</v>
      </c>
    </row>
    <row r="110" spans="1:12">
      <c r="A110" s="22" t="s">
        <v>300</v>
      </c>
      <c r="B110" s="6" t="s">
        <v>78</v>
      </c>
      <c r="C110" s="11">
        <v>1</v>
      </c>
      <c r="D110" s="11" t="s">
        <v>46</v>
      </c>
      <c r="E110" s="11">
        <v>0</v>
      </c>
      <c r="F110" s="11">
        <v>1</v>
      </c>
      <c r="G110" s="11" t="s">
        <v>79</v>
      </c>
      <c r="H110" s="11" t="s">
        <v>80</v>
      </c>
      <c r="I110" s="11" t="s">
        <v>81</v>
      </c>
      <c r="J110" s="11" t="s">
        <v>82</v>
      </c>
      <c r="K110" s="11" t="s">
        <v>83</v>
      </c>
      <c r="L110" s="6" t="s">
        <v>293</v>
      </c>
    </row>
    <row r="111" spans="1:12">
      <c r="A111" s="22" t="s">
        <v>301</v>
      </c>
      <c r="B111" s="6" t="s">
        <v>78</v>
      </c>
      <c r="C111" s="11">
        <v>1</v>
      </c>
      <c r="D111" s="11" t="s">
        <v>46</v>
      </c>
      <c r="E111" s="11">
        <v>0</v>
      </c>
      <c r="F111" s="11">
        <v>1</v>
      </c>
      <c r="G111" s="11" t="s">
        <v>79</v>
      </c>
      <c r="H111" s="11" t="s">
        <v>80</v>
      </c>
      <c r="I111" s="11" t="s">
        <v>81</v>
      </c>
      <c r="J111" s="11" t="s">
        <v>82</v>
      </c>
      <c r="K111" s="11" t="s">
        <v>83</v>
      </c>
      <c r="L111" s="6" t="s">
        <v>293</v>
      </c>
    </row>
    <row r="112" spans="1:12">
      <c r="A112" s="22" t="s">
        <v>302</v>
      </c>
      <c r="B112" s="6" t="s">
        <v>78</v>
      </c>
      <c r="C112" s="11">
        <v>1</v>
      </c>
      <c r="D112" s="11" t="s">
        <v>46</v>
      </c>
      <c r="E112" s="11">
        <v>0</v>
      </c>
      <c r="F112" s="11">
        <v>1</v>
      </c>
      <c r="G112" s="11" t="s">
        <v>79</v>
      </c>
      <c r="H112" s="11" t="s">
        <v>80</v>
      </c>
      <c r="I112" s="11" t="s">
        <v>81</v>
      </c>
      <c r="J112" s="11" t="s">
        <v>82</v>
      </c>
      <c r="K112" s="11" t="s">
        <v>83</v>
      </c>
      <c r="L112" s="6" t="s">
        <v>293</v>
      </c>
    </row>
    <row r="113" spans="1:12">
      <c r="A113" s="22" t="s">
        <v>303</v>
      </c>
      <c r="B113" s="6" t="s">
        <v>78</v>
      </c>
      <c r="C113" s="11">
        <v>1</v>
      </c>
      <c r="D113" s="11" t="s">
        <v>46</v>
      </c>
      <c r="E113" s="11">
        <v>0</v>
      </c>
      <c r="F113" s="11">
        <v>1</v>
      </c>
      <c r="G113" s="11" t="s">
        <v>79</v>
      </c>
      <c r="H113" s="11" t="s">
        <v>80</v>
      </c>
      <c r="I113" s="11" t="s">
        <v>81</v>
      </c>
      <c r="J113" s="11" t="s">
        <v>82</v>
      </c>
      <c r="K113" s="11" t="s">
        <v>83</v>
      </c>
      <c r="L113" s="6" t="s">
        <v>293</v>
      </c>
    </row>
    <row r="114" spans="1:12">
      <c r="A114" s="22" t="s">
        <v>304</v>
      </c>
      <c r="B114" s="6" t="s">
        <v>78</v>
      </c>
      <c r="C114" s="11">
        <v>1</v>
      </c>
      <c r="D114" s="11" t="s">
        <v>46</v>
      </c>
      <c r="E114" s="11">
        <v>0</v>
      </c>
      <c r="F114" s="11">
        <v>1</v>
      </c>
      <c r="G114" s="11" t="s">
        <v>79</v>
      </c>
      <c r="H114" s="11" t="s">
        <v>80</v>
      </c>
      <c r="I114" s="11" t="s">
        <v>81</v>
      </c>
      <c r="J114" s="11" t="s">
        <v>82</v>
      </c>
      <c r="K114" s="11" t="s">
        <v>83</v>
      </c>
      <c r="L114" s="6" t="s">
        <v>293</v>
      </c>
    </row>
    <row r="115" spans="1:12">
      <c r="A115" s="22" t="s">
        <v>305</v>
      </c>
      <c r="B115" s="6" t="s">
        <v>78</v>
      </c>
      <c r="C115" s="11">
        <v>1</v>
      </c>
      <c r="D115" s="11" t="s">
        <v>46</v>
      </c>
      <c r="E115" s="11">
        <v>0</v>
      </c>
      <c r="F115" s="11">
        <v>1</v>
      </c>
      <c r="G115" s="11" t="s">
        <v>79</v>
      </c>
      <c r="H115" s="11" t="s">
        <v>80</v>
      </c>
      <c r="I115" s="11" t="s">
        <v>81</v>
      </c>
      <c r="J115" s="11" t="s">
        <v>82</v>
      </c>
      <c r="K115" s="11" t="s">
        <v>83</v>
      </c>
      <c r="L115" s="6" t="s">
        <v>293</v>
      </c>
    </row>
    <row r="116" spans="1:12">
      <c r="A116" s="22" t="s">
        <v>306</v>
      </c>
      <c r="B116" s="6" t="s">
        <v>78</v>
      </c>
      <c r="C116" s="11">
        <v>0</v>
      </c>
      <c r="D116" s="11" t="s">
        <v>46</v>
      </c>
      <c r="E116" s="11">
        <v>0</v>
      </c>
      <c r="F116" s="11">
        <v>1</v>
      </c>
      <c r="G116" s="11" t="s">
        <v>79</v>
      </c>
      <c r="H116" s="11" t="s">
        <v>80</v>
      </c>
      <c r="I116" s="11" t="s">
        <v>81</v>
      </c>
      <c r="J116" s="11" t="s">
        <v>82</v>
      </c>
      <c r="K116" s="11" t="s">
        <v>83</v>
      </c>
      <c r="L116" s="6" t="s">
        <v>293</v>
      </c>
    </row>
    <row r="117" spans="1:12">
      <c r="A117" s="22" t="s">
        <v>307</v>
      </c>
      <c r="B117" s="6" t="s">
        <v>78</v>
      </c>
      <c r="C117" s="11">
        <v>0</v>
      </c>
      <c r="D117" s="11" t="s">
        <v>46</v>
      </c>
      <c r="E117" s="11">
        <v>0</v>
      </c>
      <c r="F117" s="11">
        <v>1</v>
      </c>
      <c r="G117" s="11" t="s">
        <v>79</v>
      </c>
      <c r="H117" s="11" t="s">
        <v>80</v>
      </c>
      <c r="I117" s="11" t="s">
        <v>81</v>
      </c>
      <c r="J117" s="11" t="s">
        <v>82</v>
      </c>
      <c r="K117" s="11" t="s">
        <v>83</v>
      </c>
      <c r="L117" s="6" t="s">
        <v>293</v>
      </c>
    </row>
    <row r="118" spans="1:12">
      <c r="A118" s="22" t="s">
        <v>308</v>
      </c>
      <c r="B118" s="6" t="s">
        <v>78</v>
      </c>
      <c r="C118" s="11">
        <v>1</v>
      </c>
      <c r="D118" s="11" t="s">
        <v>46</v>
      </c>
      <c r="E118" s="11">
        <v>0</v>
      </c>
      <c r="F118" s="11">
        <v>1</v>
      </c>
      <c r="G118" s="11" t="s">
        <v>79</v>
      </c>
      <c r="H118" s="11" t="s">
        <v>80</v>
      </c>
      <c r="I118" s="11" t="s">
        <v>81</v>
      </c>
      <c r="J118" s="11" t="s">
        <v>82</v>
      </c>
      <c r="K118" s="11" t="s">
        <v>83</v>
      </c>
      <c r="L118" s="6" t="s">
        <v>293</v>
      </c>
    </row>
    <row r="119" spans="1:12">
      <c r="A119" s="22" t="s">
        <v>309</v>
      </c>
      <c r="B119" s="6" t="s">
        <v>78</v>
      </c>
      <c r="C119" s="11">
        <v>0</v>
      </c>
      <c r="D119" s="11" t="s">
        <v>46</v>
      </c>
      <c r="E119" s="11">
        <v>0</v>
      </c>
      <c r="F119" s="11">
        <v>1</v>
      </c>
      <c r="G119" s="11" t="s">
        <v>79</v>
      </c>
      <c r="H119" s="11" t="s">
        <v>80</v>
      </c>
      <c r="I119" s="11" t="s">
        <v>81</v>
      </c>
      <c r="J119" s="11" t="s">
        <v>82</v>
      </c>
      <c r="K119" s="11" t="s">
        <v>83</v>
      </c>
      <c r="L119" s="6" t="s">
        <v>293</v>
      </c>
    </row>
    <row r="120" spans="1:12">
      <c r="A120" s="22" t="s">
        <v>310</v>
      </c>
      <c r="B120" s="6" t="s">
        <v>78</v>
      </c>
      <c r="C120" s="11">
        <v>1</v>
      </c>
      <c r="D120" s="11" t="s">
        <v>46</v>
      </c>
      <c r="E120" s="11">
        <v>0</v>
      </c>
      <c r="F120" s="11">
        <v>1</v>
      </c>
      <c r="G120" s="11" t="s">
        <v>79</v>
      </c>
      <c r="H120" s="11" t="s">
        <v>80</v>
      </c>
      <c r="I120" s="11" t="s">
        <v>81</v>
      </c>
      <c r="J120" s="11" t="s">
        <v>82</v>
      </c>
      <c r="K120" s="11" t="s">
        <v>83</v>
      </c>
      <c r="L120" s="6" t="s">
        <v>293</v>
      </c>
    </row>
    <row r="121" spans="1:12">
      <c r="A121" s="22" t="s">
        <v>311</v>
      </c>
      <c r="B121" s="6" t="s">
        <v>78</v>
      </c>
      <c r="C121" s="11">
        <v>1</v>
      </c>
      <c r="D121" s="11" t="s">
        <v>46</v>
      </c>
      <c r="E121" s="11">
        <v>0</v>
      </c>
      <c r="F121" s="11">
        <v>1</v>
      </c>
      <c r="G121" s="11" t="s">
        <v>79</v>
      </c>
      <c r="H121" s="11" t="s">
        <v>80</v>
      </c>
      <c r="I121" s="11" t="s">
        <v>81</v>
      </c>
      <c r="J121" s="11" t="s">
        <v>82</v>
      </c>
      <c r="K121" s="11" t="s">
        <v>83</v>
      </c>
      <c r="L121" s="6" t="s">
        <v>293</v>
      </c>
    </row>
    <row r="122" spans="1:12">
      <c r="A122" s="22" t="s">
        <v>312</v>
      </c>
      <c r="B122" s="6" t="s">
        <v>78</v>
      </c>
      <c r="C122" s="11">
        <v>1</v>
      </c>
      <c r="D122" s="11" t="s">
        <v>46</v>
      </c>
      <c r="E122" s="11">
        <v>0</v>
      </c>
      <c r="F122" s="11">
        <v>1</v>
      </c>
      <c r="G122" s="11" t="s">
        <v>79</v>
      </c>
      <c r="H122" s="11" t="s">
        <v>80</v>
      </c>
      <c r="I122" s="11" t="s">
        <v>81</v>
      </c>
      <c r="J122" s="11" t="s">
        <v>82</v>
      </c>
      <c r="K122" s="11" t="s">
        <v>83</v>
      </c>
      <c r="L122" s="6" t="s">
        <v>293</v>
      </c>
    </row>
    <row r="123" spans="1:12">
      <c r="A123" s="22" t="s">
        <v>313</v>
      </c>
      <c r="B123" s="6" t="s">
        <v>78</v>
      </c>
      <c r="C123" s="11">
        <v>0</v>
      </c>
      <c r="D123" s="11" t="s">
        <v>46</v>
      </c>
      <c r="E123" s="11">
        <v>0</v>
      </c>
      <c r="F123" s="11">
        <v>1</v>
      </c>
      <c r="G123" s="11" t="s">
        <v>79</v>
      </c>
      <c r="H123" s="11" t="s">
        <v>80</v>
      </c>
      <c r="I123" s="11" t="s">
        <v>81</v>
      </c>
      <c r="J123" s="11" t="s">
        <v>82</v>
      </c>
      <c r="K123" s="11" t="s">
        <v>83</v>
      </c>
      <c r="L123" s="6" t="s">
        <v>293</v>
      </c>
    </row>
    <row r="124" spans="1:12">
      <c r="A124" s="22" t="s">
        <v>314</v>
      </c>
      <c r="B124" s="6" t="s">
        <v>78</v>
      </c>
      <c r="C124" s="11">
        <v>0</v>
      </c>
      <c r="D124" s="11" t="s">
        <v>46</v>
      </c>
      <c r="E124" s="11">
        <v>0</v>
      </c>
      <c r="F124" s="11">
        <v>1</v>
      </c>
      <c r="G124" s="11" t="s">
        <v>79</v>
      </c>
      <c r="H124" s="11" t="s">
        <v>80</v>
      </c>
      <c r="I124" s="11" t="s">
        <v>81</v>
      </c>
      <c r="J124" s="11" t="s">
        <v>82</v>
      </c>
      <c r="K124" s="11" t="s">
        <v>83</v>
      </c>
      <c r="L124" s="6" t="s">
        <v>293</v>
      </c>
    </row>
    <row r="125" spans="1:12">
      <c r="A125" s="22" t="s">
        <v>315</v>
      </c>
      <c r="B125" s="6" t="s">
        <v>78</v>
      </c>
      <c r="C125" s="11">
        <v>0</v>
      </c>
      <c r="D125" s="11" t="s">
        <v>46</v>
      </c>
      <c r="E125" s="11">
        <v>0</v>
      </c>
      <c r="F125" s="11">
        <v>1</v>
      </c>
      <c r="G125" s="11" t="s">
        <v>79</v>
      </c>
      <c r="H125" s="11" t="s">
        <v>80</v>
      </c>
      <c r="I125" s="11" t="s">
        <v>81</v>
      </c>
      <c r="J125" s="11" t="s">
        <v>82</v>
      </c>
      <c r="K125" s="11" t="s">
        <v>83</v>
      </c>
      <c r="L125" s="6" t="s">
        <v>293</v>
      </c>
    </row>
    <row r="126" spans="1:12">
      <c r="A126" s="22" t="s">
        <v>316</v>
      </c>
      <c r="B126" s="6" t="s">
        <v>78</v>
      </c>
      <c r="C126" s="11">
        <v>0</v>
      </c>
      <c r="D126" s="11" t="s">
        <v>46</v>
      </c>
      <c r="E126" s="11">
        <v>0</v>
      </c>
      <c r="F126" s="11">
        <v>1</v>
      </c>
      <c r="G126" s="11" t="s">
        <v>79</v>
      </c>
      <c r="H126" s="11" t="s">
        <v>80</v>
      </c>
      <c r="I126" s="11" t="s">
        <v>81</v>
      </c>
      <c r="J126" s="11" t="s">
        <v>82</v>
      </c>
      <c r="K126" s="11" t="s">
        <v>83</v>
      </c>
      <c r="L126" s="6" t="s">
        <v>293</v>
      </c>
    </row>
    <row r="127" spans="1:12">
      <c r="A127" s="22" t="s">
        <v>317</v>
      </c>
      <c r="B127" s="6" t="s">
        <v>78</v>
      </c>
      <c r="C127" s="11">
        <v>0</v>
      </c>
      <c r="D127" s="11" t="s">
        <v>46</v>
      </c>
      <c r="E127" s="11">
        <v>0</v>
      </c>
      <c r="F127" s="11">
        <v>1</v>
      </c>
      <c r="G127" s="11" t="s">
        <v>79</v>
      </c>
      <c r="H127" s="11" t="s">
        <v>80</v>
      </c>
      <c r="I127" s="11" t="s">
        <v>81</v>
      </c>
      <c r="J127" s="11" t="s">
        <v>82</v>
      </c>
      <c r="K127" s="11" t="s">
        <v>83</v>
      </c>
      <c r="L127" s="6" t="s">
        <v>293</v>
      </c>
    </row>
    <row r="128" spans="1:12">
      <c r="A128" s="22" t="s">
        <v>318</v>
      </c>
      <c r="B128" s="6" t="s">
        <v>78</v>
      </c>
      <c r="C128" s="11">
        <v>0</v>
      </c>
      <c r="D128" s="11" t="s">
        <v>46</v>
      </c>
      <c r="E128" s="11">
        <v>0</v>
      </c>
      <c r="F128" s="11">
        <v>1</v>
      </c>
      <c r="G128" s="11" t="s">
        <v>79</v>
      </c>
      <c r="H128" s="11" t="s">
        <v>80</v>
      </c>
      <c r="I128" s="11" t="s">
        <v>81</v>
      </c>
      <c r="J128" s="11" t="s">
        <v>82</v>
      </c>
      <c r="K128" s="11" t="s">
        <v>83</v>
      </c>
      <c r="L128" s="6" t="s">
        <v>293</v>
      </c>
    </row>
    <row r="129" spans="1:12">
      <c r="A129" s="22" t="s">
        <v>319</v>
      </c>
      <c r="B129" s="6" t="s">
        <v>78</v>
      </c>
      <c r="C129" s="11">
        <v>0</v>
      </c>
      <c r="D129" s="11" t="s">
        <v>46</v>
      </c>
      <c r="E129" s="11">
        <v>0</v>
      </c>
      <c r="F129" s="11">
        <v>1</v>
      </c>
      <c r="G129" s="11" t="s">
        <v>79</v>
      </c>
      <c r="H129" s="11" t="s">
        <v>80</v>
      </c>
      <c r="I129" s="11" t="s">
        <v>81</v>
      </c>
      <c r="J129" s="11" t="s">
        <v>82</v>
      </c>
      <c r="K129" s="11" t="s">
        <v>83</v>
      </c>
      <c r="L129" s="6" t="s">
        <v>293</v>
      </c>
    </row>
    <row r="130" spans="1:12">
      <c r="A130" s="22" t="s">
        <v>320</v>
      </c>
      <c r="B130" s="6" t="s">
        <v>78</v>
      </c>
      <c r="C130" s="11">
        <v>0</v>
      </c>
      <c r="D130" s="11" t="s">
        <v>46</v>
      </c>
      <c r="E130" s="11">
        <v>0</v>
      </c>
      <c r="F130" s="11">
        <v>1</v>
      </c>
      <c r="G130" s="11" t="s">
        <v>79</v>
      </c>
      <c r="H130" s="11" t="s">
        <v>80</v>
      </c>
      <c r="I130" s="11" t="s">
        <v>81</v>
      </c>
      <c r="J130" s="11" t="s">
        <v>82</v>
      </c>
      <c r="K130" s="11" t="s">
        <v>83</v>
      </c>
      <c r="L130" s="6" t="s">
        <v>293</v>
      </c>
    </row>
    <row r="131" s="6" customFormat="1" spans="1:12">
      <c r="A131" s="22" t="s">
        <v>321</v>
      </c>
      <c r="B131" s="6" t="s">
        <v>78</v>
      </c>
      <c r="C131" s="11">
        <v>1</v>
      </c>
      <c r="D131" s="11" t="s">
        <v>46</v>
      </c>
      <c r="E131" s="11">
        <v>0</v>
      </c>
      <c r="F131" s="11">
        <v>1</v>
      </c>
      <c r="G131" s="11" t="s">
        <v>79</v>
      </c>
      <c r="H131" s="11" t="s">
        <v>80</v>
      </c>
      <c r="I131" s="11" t="s">
        <v>81</v>
      </c>
      <c r="J131" s="11" t="s">
        <v>82</v>
      </c>
      <c r="K131" s="11" t="s">
        <v>83</v>
      </c>
      <c r="L131" s="6" t="s">
        <v>293</v>
      </c>
    </row>
    <row r="132" s="6" customFormat="1" spans="1:12">
      <c r="A132" s="22" t="s">
        <v>322</v>
      </c>
      <c r="B132" s="6" t="s">
        <v>78</v>
      </c>
      <c r="C132" s="11">
        <v>1</v>
      </c>
      <c r="D132" s="11" t="s">
        <v>46</v>
      </c>
      <c r="E132" s="11">
        <v>0</v>
      </c>
      <c r="F132" s="11">
        <v>1</v>
      </c>
      <c r="G132" s="11" t="s">
        <v>79</v>
      </c>
      <c r="H132" s="11" t="s">
        <v>80</v>
      </c>
      <c r="I132" s="11" t="s">
        <v>81</v>
      </c>
      <c r="J132" s="11" t="s">
        <v>82</v>
      </c>
      <c r="K132" s="11" t="s">
        <v>83</v>
      </c>
      <c r="L132" s="6" t="s">
        <v>293</v>
      </c>
    </row>
    <row r="133" s="6" customFormat="1" spans="1:12">
      <c r="A133" s="22" t="s">
        <v>323</v>
      </c>
      <c r="B133" s="6" t="s">
        <v>78</v>
      </c>
      <c r="C133" s="11">
        <v>1</v>
      </c>
      <c r="D133" s="11" t="s">
        <v>46</v>
      </c>
      <c r="E133" s="11">
        <v>0</v>
      </c>
      <c r="F133" s="11">
        <v>1</v>
      </c>
      <c r="G133" s="11" t="s">
        <v>79</v>
      </c>
      <c r="H133" s="11" t="s">
        <v>80</v>
      </c>
      <c r="I133" s="11" t="s">
        <v>81</v>
      </c>
      <c r="J133" s="11" t="s">
        <v>82</v>
      </c>
      <c r="K133" s="11" t="s">
        <v>83</v>
      </c>
      <c r="L133" s="6" t="s">
        <v>293</v>
      </c>
    </row>
    <row r="134" s="6" customFormat="1" spans="1:12">
      <c r="A134" s="22" t="s">
        <v>324</v>
      </c>
      <c r="B134" s="6" t="s">
        <v>78</v>
      </c>
      <c r="C134" s="11">
        <v>1</v>
      </c>
      <c r="D134" s="11" t="s">
        <v>46</v>
      </c>
      <c r="E134" s="11">
        <v>0</v>
      </c>
      <c r="F134" s="11">
        <v>1</v>
      </c>
      <c r="G134" s="11" t="s">
        <v>79</v>
      </c>
      <c r="H134" s="11" t="s">
        <v>80</v>
      </c>
      <c r="I134" s="11" t="s">
        <v>81</v>
      </c>
      <c r="J134" s="11" t="s">
        <v>82</v>
      </c>
      <c r="K134" s="11" t="s">
        <v>83</v>
      </c>
      <c r="L134" s="6" t="s">
        <v>293</v>
      </c>
    </row>
    <row r="135" s="6" customFormat="1" spans="1:12">
      <c r="A135" s="22" t="s">
        <v>325</v>
      </c>
      <c r="B135" s="6" t="s">
        <v>78</v>
      </c>
      <c r="C135" s="11">
        <v>1</v>
      </c>
      <c r="D135" s="11" t="s">
        <v>46</v>
      </c>
      <c r="E135" s="11">
        <v>0</v>
      </c>
      <c r="F135" s="11">
        <v>1</v>
      </c>
      <c r="G135" s="11" t="s">
        <v>79</v>
      </c>
      <c r="H135" s="11" t="s">
        <v>80</v>
      </c>
      <c r="I135" s="11" t="s">
        <v>81</v>
      </c>
      <c r="J135" s="11" t="s">
        <v>82</v>
      </c>
      <c r="K135" s="11" t="s">
        <v>83</v>
      </c>
      <c r="L135" s="6" t="s">
        <v>293</v>
      </c>
    </row>
    <row r="136" s="6" customFormat="1" spans="1:12">
      <c r="A136" s="22" t="s">
        <v>326</v>
      </c>
      <c r="B136" s="6" t="s">
        <v>78</v>
      </c>
      <c r="C136" s="11">
        <v>1</v>
      </c>
      <c r="D136" s="11" t="s">
        <v>46</v>
      </c>
      <c r="E136" s="11">
        <v>0</v>
      </c>
      <c r="F136" s="11">
        <v>1</v>
      </c>
      <c r="G136" s="11" t="s">
        <v>79</v>
      </c>
      <c r="H136" s="11" t="s">
        <v>80</v>
      </c>
      <c r="I136" s="11" t="s">
        <v>81</v>
      </c>
      <c r="J136" s="11" t="s">
        <v>82</v>
      </c>
      <c r="K136" s="11" t="s">
        <v>83</v>
      </c>
      <c r="L136" s="6" t="s">
        <v>293</v>
      </c>
    </row>
    <row r="137" s="6" customFormat="1" spans="1:12">
      <c r="A137" s="22" t="s">
        <v>327</v>
      </c>
      <c r="B137" s="6" t="s">
        <v>78</v>
      </c>
      <c r="C137" s="11">
        <v>1</v>
      </c>
      <c r="D137" s="11" t="s">
        <v>46</v>
      </c>
      <c r="E137" s="11">
        <v>0</v>
      </c>
      <c r="F137" s="11">
        <v>1</v>
      </c>
      <c r="G137" s="11" t="s">
        <v>79</v>
      </c>
      <c r="H137" s="11" t="s">
        <v>80</v>
      </c>
      <c r="I137" s="11" t="s">
        <v>81</v>
      </c>
      <c r="J137" s="11" t="s">
        <v>82</v>
      </c>
      <c r="K137" s="11" t="s">
        <v>83</v>
      </c>
      <c r="L137" s="6" t="s">
        <v>293</v>
      </c>
    </row>
    <row r="138" spans="1:12">
      <c r="A138" s="6" t="s">
        <v>328</v>
      </c>
      <c r="B138" s="6" t="s">
        <v>78</v>
      </c>
      <c r="C138" s="11">
        <v>50</v>
      </c>
      <c r="D138" s="11" t="s">
        <v>45</v>
      </c>
      <c r="E138" s="11">
        <v>0</v>
      </c>
      <c r="F138" s="11">
        <v>1000</v>
      </c>
      <c r="G138" s="11" t="s">
        <v>94</v>
      </c>
      <c r="H138" s="11" t="s">
        <v>80</v>
      </c>
      <c r="I138" s="11" t="s">
        <v>81</v>
      </c>
      <c r="J138" s="11" t="s">
        <v>82</v>
      </c>
      <c r="K138" s="11" t="s">
        <v>83</v>
      </c>
      <c r="L138" s="6" t="s">
        <v>329</v>
      </c>
    </row>
    <row r="139" spans="1:12">
      <c r="A139" s="6" t="s">
        <v>330</v>
      </c>
      <c r="B139" s="6" t="s">
        <v>78</v>
      </c>
      <c r="C139" s="11">
        <v>0.2</v>
      </c>
      <c r="D139" s="11" t="s">
        <v>45</v>
      </c>
      <c r="E139" s="11">
        <v>0</v>
      </c>
      <c r="F139" s="11">
        <v>1000</v>
      </c>
      <c r="G139" s="11" t="s">
        <v>79</v>
      </c>
      <c r="H139" s="11" t="s">
        <v>80</v>
      </c>
      <c r="I139" s="11" t="s">
        <v>81</v>
      </c>
      <c r="J139" s="11" t="s">
        <v>82</v>
      </c>
      <c r="K139" s="11" t="s">
        <v>83</v>
      </c>
      <c r="L139" s="6" t="s">
        <v>331</v>
      </c>
    </row>
    <row r="140" spans="1:12">
      <c r="A140" s="6" t="s">
        <v>332</v>
      </c>
      <c r="B140" s="6" t="s">
        <v>78</v>
      </c>
      <c r="C140" s="11">
        <v>0.01</v>
      </c>
      <c r="D140" s="11" t="s">
        <v>45</v>
      </c>
      <c r="E140" s="11">
        <v>0</v>
      </c>
      <c r="F140" s="11">
        <v>1000</v>
      </c>
      <c r="G140" s="11" t="s">
        <v>79</v>
      </c>
      <c r="H140" s="11" t="s">
        <v>80</v>
      </c>
      <c r="I140" s="11" t="s">
        <v>81</v>
      </c>
      <c r="J140" s="11" t="s">
        <v>82</v>
      </c>
      <c r="K140" s="11" t="s">
        <v>83</v>
      </c>
      <c r="L140" s="6" t="s">
        <v>333</v>
      </c>
    </row>
    <row r="141" spans="1:12">
      <c r="A141" s="6" t="s">
        <v>334</v>
      </c>
      <c r="B141" s="6" t="s">
        <v>78</v>
      </c>
      <c r="C141" s="11">
        <v>50</v>
      </c>
      <c r="D141" s="11" t="s">
        <v>45</v>
      </c>
      <c r="E141" s="11">
        <v>0</v>
      </c>
      <c r="F141" s="11">
        <v>1000</v>
      </c>
      <c r="G141" s="11" t="s">
        <v>94</v>
      </c>
      <c r="H141" s="11" t="s">
        <v>80</v>
      </c>
      <c r="I141" s="11" t="s">
        <v>81</v>
      </c>
      <c r="J141" s="11" t="s">
        <v>82</v>
      </c>
      <c r="K141" s="11" t="s">
        <v>83</v>
      </c>
      <c r="L141" s="6" t="s">
        <v>335</v>
      </c>
    </row>
    <row r="142" spans="1:12">
      <c r="A142" s="6" t="s">
        <v>336</v>
      </c>
      <c r="B142" s="6" t="s">
        <v>78</v>
      </c>
      <c r="C142" s="11">
        <v>0.05</v>
      </c>
      <c r="D142" s="11" t="s">
        <v>45</v>
      </c>
      <c r="E142" s="11">
        <v>0</v>
      </c>
      <c r="F142" s="11">
        <v>1000</v>
      </c>
      <c r="G142" s="11" t="s">
        <v>79</v>
      </c>
      <c r="H142" s="11" t="s">
        <v>80</v>
      </c>
      <c r="I142" s="11" t="s">
        <v>81</v>
      </c>
      <c r="J142" s="11" t="s">
        <v>82</v>
      </c>
      <c r="K142" s="11" t="s">
        <v>83</v>
      </c>
      <c r="L142" s="6" t="s">
        <v>337</v>
      </c>
    </row>
    <row r="143" spans="1:12">
      <c r="A143" s="6" t="s">
        <v>338</v>
      </c>
      <c r="B143" s="6" t="s">
        <v>78</v>
      </c>
      <c r="C143" s="11">
        <v>0.005</v>
      </c>
      <c r="D143" s="11" t="s">
        <v>45</v>
      </c>
      <c r="E143" s="11">
        <v>0</v>
      </c>
      <c r="F143" s="11">
        <v>1000</v>
      </c>
      <c r="G143" s="11" t="s">
        <v>79</v>
      </c>
      <c r="H143" s="11" t="s">
        <v>80</v>
      </c>
      <c r="I143" s="11" t="s">
        <v>81</v>
      </c>
      <c r="J143" s="11" t="s">
        <v>82</v>
      </c>
      <c r="K143" s="11" t="s">
        <v>83</v>
      </c>
      <c r="L143" s="6" t="s">
        <v>339</v>
      </c>
    </row>
    <row r="144" spans="1:12">
      <c r="A144" s="6" t="s">
        <v>340</v>
      </c>
      <c r="B144" s="6" t="s">
        <v>78</v>
      </c>
      <c r="C144" s="11">
        <v>0</v>
      </c>
      <c r="D144" s="11" t="s">
        <v>45</v>
      </c>
      <c r="E144" s="11">
        <v>0</v>
      </c>
      <c r="F144" s="11">
        <v>1000</v>
      </c>
      <c r="G144" s="11" t="s">
        <v>79</v>
      </c>
      <c r="H144" s="11" t="s">
        <v>80</v>
      </c>
      <c r="I144" s="11" t="s">
        <v>81</v>
      </c>
      <c r="J144" s="11" t="s">
        <v>82</v>
      </c>
      <c r="K144" s="11" t="s">
        <v>83</v>
      </c>
      <c r="L144" s="6" t="s">
        <v>341</v>
      </c>
    </row>
    <row r="145" spans="1:12">
      <c r="A145" s="6" t="s">
        <v>342</v>
      </c>
      <c r="B145" s="6" t="s">
        <v>78</v>
      </c>
      <c r="C145" s="11">
        <v>30000</v>
      </c>
      <c r="D145" s="11" t="s">
        <v>45</v>
      </c>
      <c r="E145" s="11">
        <v>0</v>
      </c>
      <c r="F145" s="11">
        <v>30000</v>
      </c>
      <c r="G145" s="11" t="s">
        <v>343</v>
      </c>
      <c r="H145" s="11" t="s">
        <v>80</v>
      </c>
      <c r="I145" s="11" t="s">
        <v>81</v>
      </c>
      <c r="J145" s="11" t="s">
        <v>82</v>
      </c>
      <c r="K145" s="11" t="s">
        <v>83</v>
      </c>
      <c r="L145" s="6" t="s">
        <v>344</v>
      </c>
    </row>
    <row r="146" spans="1:12">
      <c r="A146" s="6" t="s">
        <v>345</v>
      </c>
      <c r="B146" s="6" t="s">
        <v>78</v>
      </c>
      <c r="C146" s="11">
        <v>0</v>
      </c>
      <c r="D146" s="11" t="s">
        <v>45</v>
      </c>
      <c r="E146" s="11">
        <v>0</v>
      </c>
      <c r="F146" s="11">
        <v>1000</v>
      </c>
      <c r="G146" s="11" t="s">
        <v>79</v>
      </c>
      <c r="H146" s="11" t="s">
        <v>80</v>
      </c>
      <c r="I146" s="11" t="s">
        <v>81</v>
      </c>
      <c r="J146" s="11" t="s">
        <v>82</v>
      </c>
      <c r="K146" s="11" t="s">
        <v>83</v>
      </c>
      <c r="L146" s="6" t="s">
        <v>346</v>
      </c>
    </row>
    <row r="147" spans="1:12">
      <c r="A147" s="6" t="s">
        <v>347</v>
      </c>
      <c r="B147" s="6" t="s">
        <v>78</v>
      </c>
      <c r="C147" s="11">
        <v>35000</v>
      </c>
      <c r="D147" s="11" t="s">
        <v>41</v>
      </c>
      <c r="E147" s="11">
        <v>0</v>
      </c>
      <c r="F147" s="11">
        <v>65535</v>
      </c>
      <c r="G147" s="11" t="s">
        <v>79</v>
      </c>
      <c r="H147" s="11" t="s">
        <v>80</v>
      </c>
      <c r="I147" s="11" t="s">
        <v>81</v>
      </c>
      <c r="J147" s="11" t="s">
        <v>82</v>
      </c>
      <c r="K147" s="11" t="s">
        <v>83</v>
      </c>
      <c r="L147" s="6" t="s">
        <v>348</v>
      </c>
    </row>
    <row r="148" spans="1:12">
      <c r="A148" s="6" t="s">
        <v>349</v>
      </c>
      <c r="B148" s="6" t="s">
        <v>78</v>
      </c>
      <c r="C148" s="11">
        <v>32268</v>
      </c>
      <c r="D148" s="11" t="s">
        <v>41</v>
      </c>
      <c r="E148" s="11">
        <v>0</v>
      </c>
      <c r="F148" s="11">
        <v>65535</v>
      </c>
      <c r="G148" s="11" t="s">
        <v>79</v>
      </c>
      <c r="H148" s="11" t="s">
        <v>80</v>
      </c>
      <c r="I148" s="11" t="s">
        <v>81</v>
      </c>
      <c r="J148" s="11" t="s">
        <v>82</v>
      </c>
      <c r="K148" s="11" t="s">
        <v>83</v>
      </c>
      <c r="L148" s="6" t="s">
        <v>350</v>
      </c>
    </row>
    <row r="149" spans="1:12">
      <c r="A149" s="6" t="s">
        <v>351</v>
      </c>
      <c r="B149" s="6" t="s">
        <v>78</v>
      </c>
      <c r="C149" s="11">
        <v>100</v>
      </c>
      <c r="D149" s="11" t="s">
        <v>41</v>
      </c>
      <c r="E149" s="11">
        <v>0</v>
      </c>
      <c r="F149" s="11">
        <v>65535</v>
      </c>
      <c r="G149" s="11" t="s">
        <v>79</v>
      </c>
      <c r="H149" s="11" t="s">
        <v>80</v>
      </c>
      <c r="I149" s="11" t="s">
        <v>81</v>
      </c>
      <c r="J149" s="11" t="s">
        <v>82</v>
      </c>
      <c r="K149" s="11" t="s">
        <v>83</v>
      </c>
      <c r="L149" s="6" t="s">
        <v>352</v>
      </c>
    </row>
    <row r="150" spans="1:12">
      <c r="A150" s="6" t="s">
        <v>353</v>
      </c>
      <c r="B150" s="6" t="s">
        <v>78</v>
      </c>
      <c r="C150" s="11">
        <v>135</v>
      </c>
      <c r="D150" s="11" t="s">
        <v>45</v>
      </c>
      <c r="E150" s="11">
        <v>-100</v>
      </c>
      <c r="F150" s="11">
        <v>300</v>
      </c>
      <c r="G150" s="11" t="s">
        <v>354</v>
      </c>
      <c r="H150" s="11" t="s">
        <v>80</v>
      </c>
      <c r="I150" s="11" t="s">
        <v>81</v>
      </c>
      <c r="J150" s="11" t="s">
        <v>82</v>
      </c>
      <c r="K150" s="11" t="s">
        <v>83</v>
      </c>
      <c r="L150" s="6" t="s">
        <v>355</v>
      </c>
    </row>
    <row r="151" spans="1:12">
      <c r="A151" s="6" t="s">
        <v>356</v>
      </c>
      <c r="B151" s="6" t="s">
        <v>78</v>
      </c>
      <c r="C151" s="11">
        <v>-40</v>
      </c>
      <c r="D151" s="11" t="s">
        <v>45</v>
      </c>
      <c r="E151" s="11">
        <v>-100</v>
      </c>
      <c r="F151" s="11">
        <v>300</v>
      </c>
      <c r="G151" s="11" t="s">
        <v>354</v>
      </c>
      <c r="H151" s="11" t="s">
        <v>80</v>
      </c>
      <c r="I151" s="11" t="s">
        <v>81</v>
      </c>
      <c r="J151" s="11" t="s">
        <v>82</v>
      </c>
      <c r="K151" s="11" t="s">
        <v>83</v>
      </c>
      <c r="L151" s="6" t="s">
        <v>355</v>
      </c>
    </row>
    <row r="152" spans="1:12">
      <c r="A152" s="6" t="s">
        <v>357</v>
      </c>
      <c r="B152" s="6" t="s">
        <v>78</v>
      </c>
      <c r="C152" s="11">
        <v>150</v>
      </c>
      <c r="D152" s="11" t="s">
        <v>45</v>
      </c>
      <c r="E152" s="11">
        <v>-100</v>
      </c>
      <c r="F152" s="11">
        <v>300</v>
      </c>
      <c r="G152" s="11" t="s">
        <v>354</v>
      </c>
      <c r="H152" s="11" t="s">
        <v>80</v>
      </c>
      <c r="I152" s="11" t="s">
        <v>81</v>
      </c>
      <c r="J152" s="11" t="s">
        <v>82</v>
      </c>
      <c r="K152" s="11" t="s">
        <v>83</v>
      </c>
      <c r="L152" s="6" t="s">
        <v>358</v>
      </c>
    </row>
    <row r="153" spans="1:12">
      <c r="A153" s="6" t="s">
        <v>359</v>
      </c>
      <c r="B153" s="6" t="s">
        <v>78</v>
      </c>
      <c r="C153" s="11">
        <v>-35</v>
      </c>
      <c r="D153" s="11" t="s">
        <v>45</v>
      </c>
      <c r="E153" s="11">
        <v>-100</v>
      </c>
      <c r="F153" s="11">
        <v>300</v>
      </c>
      <c r="G153" s="11" t="s">
        <v>354</v>
      </c>
      <c r="H153" s="11" t="s">
        <v>80</v>
      </c>
      <c r="I153" s="11" t="s">
        <v>81</v>
      </c>
      <c r="J153" s="11" t="s">
        <v>82</v>
      </c>
      <c r="K153" s="11" t="s">
        <v>83</v>
      </c>
      <c r="L153" s="6" t="s">
        <v>360</v>
      </c>
    </row>
    <row r="154" spans="1:12">
      <c r="A154" s="6" t="s">
        <v>361</v>
      </c>
      <c r="B154" s="6" t="s">
        <v>78</v>
      </c>
      <c r="C154" s="11">
        <v>70</v>
      </c>
      <c r="D154" s="11" t="s">
        <v>45</v>
      </c>
      <c r="E154" s="11">
        <v>-100</v>
      </c>
      <c r="F154" s="11">
        <v>300</v>
      </c>
      <c r="G154" s="11" t="s">
        <v>354</v>
      </c>
      <c r="H154" s="11" t="s">
        <v>80</v>
      </c>
      <c r="I154" s="11" t="s">
        <v>81</v>
      </c>
      <c r="J154" s="11" t="s">
        <v>82</v>
      </c>
      <c r="K154" s="11" t="s">
        <v>83</v>
      </c>
      <c r="L154" s="6" t="s">
        <v>362</v>
      </c>
    </row>
    <row r="155" spans="1:12">
      <c r="A155" s="6" t="s">
        <v>363</v>
      </c>
      <c r="B155" s="6" t="s">
        <v>78</v>
      </c>
      <c r="C155" s="11">
        <v>20</v>
      </c>
      <c r="D155" s="11" t="s">
        <v>45</v>
      </c>
      <c r="E155" s="11">
        <v>-100</v>
      </c>
      <c r="F155" s="11">
        <v>300</v>
      </c>
      <c r="G155" s="11" t="s">
        <v>354</v>
      </c>
      <c r="H155" s="11" t="s">
        <v>80</v>
      </c>
      <c r="I155" s="11" t="s">
        <v>81</v>
      </c>
      <c r="J155" s="11" t="s">
        <v>82</v>
      </c>
      <c r="K155" s="11" t="s">
        <v>83</v>
      </c>
      <c r="L155" s="6" t="s">
        <v>362</v>
      </c>
    </row>
    <row r="156" spans="1:12">
      <c r="A156" s="6" t="s">
        <v>364</v>
      </c>
      <c r="B156" s="6" t="s">
        <v>78</v>
      </c>
      <c r="C156" s="11">
        <v>900</v>
      </c>
      <c r="D156" s="11" t="s">
        <v>45</v>
      </c>
      <c r="E156" s="11">
        <v>-1000</v>
      </c>
      <c r="F156" s="11">
        <v>1000</v>
      </c>
      <c r="G156" s="11" t="s">
        <v>172</v>
      </c>
      <c r="H156" s="11" t="s">
        <v>80</v>
      </c>
      <c r="I156" s="11" t="s">
        <v>81</v>
      </c>
      <c r="J156" s="11" t="s">
        <v>82</v>
      </c>
      <c r="K156" s="11" t="s">
        <v>83</v>
      </c>
      <c r="L156" s="6" t="s">
        <v>365</v>
      </c>
    </row>
    <row r="157" spans="1:12">
      <c r="A157" s="6" t="s">
        <v>366</v>
      </c>
      <c r="B157" s="6" t="s">
        <v>78</v>
      </c>
      <c r="C157" s="11">
        <v>-900</v>
      </c>
      <c r="D157" s="11" t="s">
        <v>45</v>
      </c>
      <c r="E157" s="11">
        <v>-1000</v>
      </c>
      <c r="F157" s="11">
        <v>1000</v>
      </c>
      <c r="G157" s="11" t="s">
        <v>172</v>
      </c>
      <c r="H157" s="11" t="s">
        <v>80</v>
      </c>
      <c r="I157" s="11" t="s">
        <v>81</v>
      </c>
      <c r="J157" s="11" t="s">
        <v>82</v>
      </c>
      <c r="K157" s="11" t="s">
        <v>83</v>
      </c>
      <c r="L157" s="6" t="s">
        <v>367</v>
      </c>
    </row>
    <row r="158" spans="1:12">
      <c r="A158" s="6" t="s">
        <v>368</v>
      </c>
      <c r="B158" s="6" t="s">
        <v>78</v>
      </c>
      <c r="C158" s="11">
        <v>800</v>
      </c>
      <c r="D158" s="11" t="s">
        <v>45</v>
      </c>
      <c r="E158" s="11">
        <v>-1000</v>
      </c>
      <c r="F158" s="11">
        <v>1000</v>
      </c>
      <c r="G158" s="11" t="s">
        <v>172</v>
      </c>
      <c r="H158" s="11" t="s">
        <v>80</v>
      </c>
      <c r="I158" s="11" t="s">
        <v>81</v>
      </c>
      <c r="J158" s="11" t="s">
        <v>82</v>
      </c>
      <c r="K158" s="11" t="s">
        <v>83</v>
      </c>
      <c r="L158" s="6" t="s">
        <v>369</v>
      </c>
    </row>
    <row r="159" spans="1:12">
      <c r="A159" s="6" t="s">
        <v>370</v>
      </c>
      <c r="B159" s="6" t="s">
        <v>78</v>
      </c>
      <c r="C159" s="11">
        <v>-800</v>
      </c>
      <c r="D159" s="11" t="s">
        <v>45</v>
      </c>
      <c r="E159" s="11">
        <v>-1000</v>
      </c>
      <c r="F159" s="11">
        <v>1000</v>
      </c>
      <c r="G159" s="11" t="s">
        <v>172</v>
      </c>
      <c r="H159" s="11" t="s">
        <v>80</v>
      </c>
      <c r="I159" s="11" t="s">
        <v>81</v>
      </c>
      <c r="J159" s="11" t="s">
        <v>82</v>
      </c>
      <c r="K159" s="11" t="s">
        <v>83</v>
      </c>
      <c r="L159" s="6" t="s">
        <v>371</v>
      </c>
    </row>
    <row r="160" spans="1:12">
      <c r="A160" s="6" t="s">
        <v>372</v>
      </c>
      <c r="B160" s="6" t="s">
        <v>78</v>
      </c>
      <c r="C160" s="11">
        <v>1000</v>
      </c>
      <c r="D160" s="11" t="s">
        <v>45</v>
      </c>
      <c r="E160" s="11">
        <v>0</v>
      </c>
      <c r="F160" s="11">
        <v>1000</v>
      </c>
      <c r="G160" s="11" t="s">
        <v>108</v>
      </c>
      <c r="H160" s="11" t="s">
        <v>80</v>
      </c>
      <c r="I160" s="11" t="s">
        <v>81</v>
      </c>
      <c r="J160" s="11" t="s">
        <v>82</v>
      </c>
      <c r="K160" s="11" t="s">
        <v>83</v>
      </c>
      <c r="L160" s="6" t="s">
        <v>373</v>
      </c>
    </row>
    <row r="161" spans="1:12">
      <c r="A161" s="6" t="s">
        <v>374</v>
      </c>
      <c r="B161" s="6" t="s">
        <v>78</v>
      </c>
      <c r="C161" s="11">
        <v>-1</v>
      </c>
      <c r="D161" s="11" t="s">
        <v>45</v>
      </c>
      <c r="E161" s="11">
        <v>-1</v>
      </c>
      <c r="F161" s="11">
        <v>1000</v>
      </c>
      <c r="G161" s="11" t="s">
        <v>108</v>
      </c>
      <c r="H161" s="11" t="s">
        <v>80</v>
      </c>
      <c r="I161" s="11" t="s">
        <v>81</v>
      </c>
      <c r="J161" s="11" t="s">
        <v>82</v>
      </c>
      <c r="K161" s="11" t="s">
        <v>83</v>
      </c>
      <c r="L161" s="6" t="s">
        <v>375</v>
      </c>
    </row>
    <row r="162" spans="1:12">
      <c r="A162" s="6" t="s">
        <v>376</v>
      </c>
      <c r="B162" s="6" t="s">
        <v>78</v>
      </c>
      <c r="C162" s="11">
        <v>485</v>
      </c>
      <c r="D162" s="11" t="s">
        <v>45</v>
      </c>
      <c r="E162" s="11">
        <v>0</v>
      </c>
      <c r="F162" s="11">
        <v>1000</v>
      </c>
      <c r="G162" s="11" t="s">
        <v>108</v>
      </c>
      <c r="H162" s="11" t="s">
        <v>80</v>
      </c>
      <c r="I162" s="11" t="s">
        <v>81</v>
      </c>
      <c r="J162" s="11" t="s">
        <v>82</v>
      </c>
      <c r="K162" s="11" t="s">
        <v>83</v>
      </c>
      <c r="L162" s="6" t="s">
        <v>377</v>
      </c>
    </row>
    <row r="163" spans="1:12">
      <c r="A163" s="6" t="s">
        <v>378</v>
      </c>
      <c r="B163" s="6" t="s">
        <v>78</v>
      </c>
      <c r="C163" s="11">
        <v>200</v>
      </c>
      <c r="D163" s="11" t="s">
        <v>45</v>
      </c>
      <c r="E163" s="11">
        <v>0</v>
      </c>
      <c r="F163" s="11">
        <v>1000</v>
      </c>
      <c r="G163" s="11" t="s">
        <v>108</v>
      </c>
      <c r="H163" s="11" t="s">
        <v>80</v>
      </c>
      <c r="I163" s="11" t="s">
        <v>81</v>
      </c>
      <c r="J163" s="11" t="s">
        <v>82</v>
      </c>
      <c r="K163" s="11" t="s">
        <v>83</v>
      </c>
      <c r="L163" s="6" t="s">
        <v>379</v>
      </c>
    </row>
    <row r="164" spans="1:12">
      <c r="A164" s="6" t="s">
        <v>380</v>
      </c>
      <c r="B164" s="6" t="s">
        <v>78</v>
      </c>
      <c r="C164" s="11" t="s">
        <v>381</v>
      </c>
      <c r="D164" s="11" t="s">
        <v>45</v>
      </c>
      <c r="E164" s="11">
        <v>0</v>
      </c>
      <c r="F164" s="11">
        <v>1</v>
      </c>
      <c r="G164" s="11" t="s">
        <v>79</v>
      </c>
      <c r="H164" s="11" t="s">
        <v>80</v>
      </c>
      <c r="I164" s="11" t="s">
        <v>81</v>
      </c>
      <c r="J164" s="11" t="s">
        <v>82</v>
      </c>
      <c r="K164" s="11" t="s">
        <v>83</v>
      </c>
      <c r="L164" s="6" t="s">
        <v>382</v>
      </c>
    </row>
    <row r="165" spans="1:12">
      <c r="A165" s="6" t="s">
        <v>383</v>
      </c>
      <c r="B165" s="6" t="s">
        <v>78</v>
      </c>
      <c r="C165" s="11" t="s">
        <v>384</v>
      </c>
      <c r="D165" s="11" t="s">
        <v>45</v>
      </c>
      <c r="E165" s="11">
        <v>0</v>
      </c>
      <c r="F165" s="11">
        <v>1</v>
      </c>
      <c r="G165" s="11" t="s">
        <v>79</v>
      </c>
      <c r="H165" s="11" t="s">
        <v>80</v>
      </c>
      <c r="I165" s="11" t="s">
        <v>81</v>
      </c>
      <c r="J165" s="11" t="s">
        <v>82</v>
      </c>
      <c r="K165" s="11" t="s">
        <v>83</v>
      </c>
      <c r="L165" s="6" t="s">
        <v>385</v>
      </c>
    </row>
    <row r="166" spans="1:12">
      <c r="A166" s="6" t="s">
        <v>386</v>
      </c>
      <c r="B166" s="6" t="s">
        <v>78</v>
      </c>
      <c r="C166" s="11" t="s">
        <v>387</v>
      </c>
      <c r="D166" s="11" t="s">
        <v>45</v>
      </c>
      <c r="E166" s="11">
        <v>0</v>
      </c>
      <c r="F166" s="11">
        <v>1</v>
      </c>
      <c r="G166" s="11" t="s">
        <v>79</v>
      </c>
      <c r="H166" s="11" t="s">
        <v>80</v>
      </c>
      <c r="I166" s="11" t="s">
        <v>81</v>
      </c>
      <c r="J166" s="11" t="s">
        <v>82</v>
      </c>
      <c r="K166" s="11" t="s">
        <v>83</v>
      </c>
      <c r="L166" s="6" t="s">
        <v>388</v>
      </c>
    </row>
    <row r="167" spans="1:12">
      <c r="A167" s="6" t="s">
        <v>389</v>
      </c>
      <c r="B167" s="6" t="s">
        <v>78</v>
      </c>
      <c r="C167" s="11" t="s">
        <v>390</v>
      </c>
      <c r="D167" s="11" t="s">
        <v>45</v>
      </c>
      <c r="E167" s="11">
        <v>0</v>
      </c>
      <c r="F167" s="11">
        <v>1</v>
      </c>
      <c r="G167" s="11" t="s">
        <v>79</v>
      </c>
      <c r="H167" s="11" t="s">
        <v>80</v>
      </c>
      <c r="I167" s="11" t="s">
        <v>81</v>
      </c>
      <c r="J167" s="11" t="s">
        <v>82</v>
      </c>
      <c r="K167" s="11" t="s">
        <v>83</v>
      </c>
      <c r="L167" s="6" t="s">
        <v>391</v>
      </c>
    </row>
    <row r="168" spans="1:12">
      <c r="A168" s="6" t="s">
        <v>392</v>
      </c>
      <c r="B168" s="6" t="s">
        <v>78</v>
      </c>
      <c r="C168" s="11" t="s">
        <v>393</v>
      </c>
      <c r="D168" s="11" t="s">
        <v>45</v>
      </c>
      <c r="E168" s="11">
        <v>0</v>
      </c>
      <c r="F168" s="11">
        <v>1</v>
      </c>
      <c r="G168" s="11" t="s">
        <v>79</v>
      </c>
      <c r="H168" s="11" t="s">
        <v>80</v>
      </c>
      <c r="I168" s="11" t="s">
        <v>81</v>
      </c>
      <c r="J168" s="11" t="s">
        <v>82</v>
      </c>
      <c r="K168" s="11" t="s">
        <v>83</v>
      </c>
      <c r="L168" s="6" t="s">
        <v>394</v>
      </c>
    </row>
    <row r="169" spans="1:12">
      <c r="A169" s="6" t="s">
        <v>395</v>
      </c>
      <c r="B169" s="6" t="s">
        <v>78</v>
      </c>
      <c r="C169" s="11" t="s">
        <v>396</v>
      </c>
      <c r="D169" s="11" t="s">
        <v>45</v>
      </c>
      <c r="E169" s="11">
        <v>0</v>
      </c>
      <c r="F169" s="11">
        <v>1</v>
      </c>
      <c r="G169" s="11" t="s">
        <v>79</v>
      </c>
      <c r="H169" s="11" t="s">
        <v>80</v>
      </c>
      <c r="I169" s="11" t="s">
        <v>81</v>
      </c>
      <c r="J169" s="11" t="s">
        <v>82</v>
      </c>
      <c r="K169" s="11" t="s">
        <v>83</v>
      </c>
      <c r="L169" s="6" t="s">
        <v>397</v>
      </c>
    </row>
    <row r="170" spans="1:12">
      <c r="A170" s="6" t="s">
        <v>398</v>
      </c>
      <c r="B170" s="6" t="s">
        <v>78</v>
      </c>
      <c r="C170" s="11" t="s">
        <v>399</v>
      </c>
      <c r="D170" s="11" t="s">
        <v>45</v>
      </c>
      <c r="E170" s="11">
        <v>0</v>
      </c>
      <c r="F170" s="11">
        <v>1</v>
      </c>
      <c r="G170" s="11" t="s">
        <v>79</v>
      </c>
      <c r="H170" s="11" t="s">
        <v>80</v>
      </c>
      <c r="I170" s="11" t="s">
        <v>81</v>
      </c>
      <c r="J170" s="11" t="s">
        <v>82</v>
      </c>
      <c r="K170" s="11" t="s">
        <v>83</v>
      </c>
      <c r="L170" s="6" t="s">
        <v>397</v>
      </c>
    </row>
    <row r="171" spans="1:12">
      <c r="A171" s="6" t="s">
        <v>400</v>
      </c>
      <c r="B171" s="6" t="s">
        <v>78</v>
      </c>
      <c r="C171" s="11" t="s">
        <v>401</v>
      </c>
      <c r="D171" s="11" t="s">
        <v>45</v>
      </c>
      <c r="E171" s="11">
        <v>0</v>
      </c>
      <c r="F171" s="11">
        <v>1</v>
      </c>
      <c r="G171" s="11" t="s">
        <v>79</v>
      </c>
      <c r="H171" s="11" t="s">
        <v>80</v>
      </c>
      <c r="I171" s="11" t="s">
        <v>81</v>
      </c>
      <c r="J171" s="11" t="s">
        <v>82</v>
      </c>
      <c r="K171" s="11" t="s">
        <v>83</v>
      </c>
      <c r="L171" s="6" t="s">
        <v>402</v>
      </c>
    </row>
    <row r="172" spans="1:12">
      <c r="A172" s="6" t="s">
        <v>403</v>
      </c>
      <c r="B172" s="6" t="s">
        <v>78</v>
      </c>
      <c r="C172" s="11" t="s">
        <v>404</v>
      </c>
      <c r="D172" s="11" t="s">
        <v>45</v>
      </c>
      <c r="E172" s="11">
        <v>0</v>
      </c>
      <c r="F172" s="11">
        <v>1</v>
      </c>
      <c r="G172" s="11" t="s">
        <v>79</v>
      </c>
      <c r="H172" s="11" t="s">
        <v>80</v>
      </c>
      <c r="I172" s="11" t="s">
        <v>81</v>
      </c>
      <c r="J172" s="11" t="s">
        <v>82</v>
      </c>
      <c r="K172" s="11" t="s">
        <v>83</v>
      </c>
      <c r="L172" s="6" t="s">
        <v>402</v>
      </c>
    </row>
    <row r="173" spans="1:12">
      <c r="A173" s="6" t="s">
        <v>405</v>
      </c>
      <c r="B173" s="6" t="s">
        <v>78</v>
      </c>
      <c r="C173" s="11" t="s">
        <v>406</v>
      </c>
      <c r="D173" s="11" t="s">
        <v>45</v>
      </c>
      <c r="E173" s="11">
        <v>0</v>
      </c>
      <c r="F173" s="11">
        <v>1</v>
      </c>
      <c r="G173" s="11" t="s">
        <v>79</v>
      </c>
      <c r="H173" s="11" t="s">
        <v>80</v>
      </c>
      <c r="I173" s="11" t="s">
        <v>81</v>
      </c>
      <c r="J173" s="11" t="s">
        <v>82</v>
      </c>
      <c r="K173" s="11" t="s">
        <v>83</v>
      </c>
      <c r="L173" s="6" t="s">
        <v>402</v>
      </c>
    </row>
    <row r="174" spans="1:12">
      <c r="A174" s="6" t="s">
        <v>407</v>
      </c>
      <c r="B174" s="6" t="s">
        <v>78</v>
      </c>
      <c r="C174" s="11" t="s">
        <v>408</v>
      </c>
      <c r="D174" s="11" t="s">
        <v>45</v>
      </c>
      <c r="E174" s="11">
        <v>0</v>
      </c>
      <c r="F174" s="11">
        <v>1</v>
      </c>
      <c r="G174" s="11" t="s">
        <v>79</v>
      </c>
      <c r="H174" s="11" t="s">
        <v>80</v>
      </c>
      <c r="I174" s="11" t="s">
        <v>81</v>
      </c>
      <c r="J174" s="11" t="s">
        <v>82</v>
      </c>
      <c r="K174" s="11" t="s">
        <v>83</v>
      </c>
      <c r="L174" s="6" t="s">
        <v>402</v>
      </c>
    </row>
    <row r="175" spans="1:12">
      <c r="A175" s="6" t="s">
        <v>409</v>
      </c>
      <c r="B175" s="6" t="s">
        <v>78</v>
      </c>
      <c r="C175" s="11">
        <v>1</v>
      </c>
      <c r="D175" s="11" t="s">
        <v>45</v>
      </c>
      <c r="E175" s="11">
        <v>0</v>
      </c>
      <c r="F175" s="11">
        <v>1</v>
      </c>
      <c r="G175" s="11" t="s">
        <v>79</v>
      </c>
      <c r="H175" s="11" t="s">
        <v>80</v>
      </c>
      <c r="I175" s="11" t="s">
        <v>81</v>
      </c>
      <c r="J175" s="11" t="s">
        <v>82</v>
      </c>
      <c r="K175" s="11" t="s">
        <v>83</v>
      </c>
      <c r="L175" s="6" t="s">
        <v>410</v>
      </c>
    </row>
    <row r="176" spans="1:12">
      <c r="A176" s="6" t="s">
        <v>411</v>
      </c>
      <c r="B176" s="6" t="s">
        <v>78</v>
      </c>
      <c r="C176" s="11">
        <v>0</v>
      </c>
      <c r="D176" s="11" t="s">
        <v>45</v>
      </c>
      <c r="E176" s="11">
        <v>0</v>
      </c>
      <c r="F176" s="11">
        <v>512</v>
      </c>
      <c r="G176" s="11" t="s">
        <v>94</v>
      </c>
      <c r="H176" s="11" t="s">
        <v>80</v>
      </c>
      <c r="I176" s="11" t="s">
        <v>81</v>
      </c>
      <c r="J176" s="11" t="s">
        <v>82</v>
      </c>
      <c r="K176" s="11" t="s">
        <v>83</v>
      </c>
      <c r="L176" s="6" t="s">
        <v>412</v>
      </c>
    </row>
    <row r="177" spans="1:12">
      <c r="A177" s="6" t="s">
        <v>413</v>
      </c>
      <c r="B177" s="6" t="s">
        <v>78</v>
      </c>
      <c r="C177" s="11">
        <v>0</v>
      </c>
      <c r="D177" s="11" t="s">
        <v>45</v>
      </c>
      <c r="E177" s="11">
        <v>0</v>
      </c>
      <c r="F177" s="11">
        <v>1000</v>
      </c>
      <c r="G177" s="11" t="s">
        <v>79</v>
      </c>
      <c r="H177" s="11" t="s">
        <v>80</v>
      </c>
      <c r="I177" s="11" t="s">
        <v>81</v>
      </c>
      <c r="J177" s="11" t="s">
        <v>82</v>
      </c>
      <c r="K177" s="11" t="s">
        <v>83</v>
      </c>
      <c r="L177" s="6" t="s">
        <v>414</v>
      </c>
    </row>
    <row r="178" spans="1:12">
      <c r="A178" s="6" t="s">
        <v>415</v>
      </c>
      <c r="B178" s="6" t="s">
        <v>78</v>
      </c>
      <c r="C178" s="11">
        <v>0</v>
      </c>
      <c r="D178" s="11" t="s">
        <v>45</v>
      </c>
      <c r="E178" s="11">
        <v>0</v>
      </c>
      <c r="F178" s="11">
        <v>1000</v>
      </c>
      <c r="G178" s="11" t="s">
        <v>79</v>
      </c>
      <c r="H178" s="11" t="s">
        <v>80</v>
      </c>
      <c r="I178" s="11" t="s">
        <v>81</v>
      </c>
      <c r="J178" s="11" t="s">
        <v>82</v>
      </c>
      <c r="K178" s="11" t="s">
        <v>83</v>
      </c>
      <c r="L178" s="6" t="s">
        <v>416</v>
      </c>
    </row>
    <row r="179" spans="1:12">
      <c r="A179" s="6" t="s">
        <v>417</v>
      </c>
      <c r="B179" s="6" t="s">
        <v>78</v>
      </c>
      <c r="C179" s="11">
        <v>300</v>
      </c>
      <c r="D179" s="11" t="s">
        <v>45</v>
      </c>
      <c r="E179" s="11">
        <v>0</v>
      </c>
      <c r="F179" s="11">
        <v>1000</v>
      </c>
      <c r="G179" s="11" t="s">
        <v>108</v>
      </c>
      <c r="H179" s="11" t="s">
        <v>80</v>
      </c>
      <c r="I179" s="11" t="s">
        <v>81</v>
      </c>
      <c r="J179" s="11" t="s">
        <v>82</v>
      </c>
      <c r="K179" s="11" t="s">
        <v>83</v>
      </c>
      <c r="L179" s="6" t="s">
        <v>418</v>
      </c>
    </row>
    <row r="180" spans="1:12">
      <c r="A180" s="6" t="s">
        <v>419</v>
      </c>
      <c r="B180" s="6" t="s">
        <v>78</v>
      </c>
      <c r="C180" s="11">
        <v>250</v>
      </c>
      <c r="D180" s="11" t="s">
        <v>45</v>
      </c>
      <c r="E180" s="11">
        <v>0</v>
      </c>
      <c r="F180" s="11">
        <v>1000</v>
      </c>
      <c r="G180" s="11" t="s">
        <v>108</v>
      </c>
      <c r="H180" s="11" t="s">
        <v>80</v>
      </c>
      <c r="I180" s="11" t="s">
        <v>81</v>
      </c>
      <c r="J180" s="11" t="s">
        <v>82</v>
      </c>
      <c r="K180" s="11" t="s">
        <v>83</v>
      </c>
      <c r="L180" s="6" t="s">
        <v>420</v>
      </c>
    </row>
    <row r="181" spans="1:12">
      <c r="A181" s="6" t="s">
        <v>421</v>
      </c>
      <c r="B181" s="6" t="s">
        <v>78</v>
      </c>
      <c r="C181" s="11" t="s">
        <v>422</v>
      </c>
      <c r="D181" s="11" t="s">
        <v>51</v>
      </c>
      <c r="E181" s="11" t="s">
        <v>254</v>
      </c>
      <c r="F181" s="11" t="s">
        <v>254</v>
      </c>
      <c r="G181" s="11" t="s">
        <v>79</v>
      </c>
      <c r="H181" s="11" t="s">
        <v>80</v>
      </c>
      <c r="I181" s="11" t="s">
        <v>81</v>
      </c>
      <c r="J181" s="11" t="s">
        <v>82</v>
      </c>
      <c r="K181" s="11" t="s">
        <v>83</v>
      </c>
      <c r="L181" s="6" t="s">
        <v>423</v>
      </c>
    </row>
    <row r="182" spans="1:12">
      <c r="A182" s="6" t="s">
        <v>424</v>
      </c>
      <c r="B182" s="6" t="s">
        <v>78</v>
      </c>
      <c r="C182" s="11">
        <v>0</v>
      </c>
      <c r="D182" s="11" t="s">
        <v>46</v>
      </c>
      <c r="E182" s="11">
        <v>0</v>
      </c>
      <c r="F182" s="11">
        <v>1</v>
      </c>
      <c r="G182" s="11" t="s">
        <v>79</v>
      </c>
      <c r="H182" s="11" t="s">
        <v>80</v>
      </c>
      <c r="I182" s="11" t="s">
        <v>81</v>
      </c>
      <c r="J182" s="11" t="s">
        <v>82</v>
      </c>
      <c r="K182" s="11" t="s">
        <v>83</v>
      </c>
      <c r="L182" s="6" t="s">
        <v>425</v>
      </c>
    </row>
    <row r="183" spans="1:12">
      <c r="A183" s="6" t="s">
        <v>426</v>
      </c>
      <c r="B183" s="6" t="s">
        <v>78</v>
      </c>
      <c r="C183" s="11">
        <v>0</v>
      </c>
      <c r="D183" s="11" t="s">
        <v>45</v>
      </c>
      <c r="E183" s="11">
        <v>0</v>
      </c>
      <c r="F183" s="11">
        <v>1000</v>
      </c>
      <c r="G183" s="11" t="s">
        <v>172</v>
      </c>
      <c r="H183" s="11" t="s">
        <v>80</v>
      </c>
      <c r="I183" s="11" t="s">
        <v>81</v>
      </c>
      <c r="J183" s="11" t="s">
        <v>82</v>
      </c>
      <c r="K183" s="11" t="s">
        <v>83</v>
      </c>
      <c r="L183" s="6" t="s">
        <v>427</v>
      </c>
    </row>
    <row r="184" spans="1:12">
      <c r="A184" s="6" t="s">
        <v>428</v>
      </c>
      <c r="B184" s="6" t="s">
        <v>78</v>
      </c>
      <c r="C184" s="11">
        <v>0</v>
      </c>
      <c r="D184" s="11" t="s">
        <v>45</v>
      </c>
      <c r="E184" s="11">
        <v>-180</v>
      </c>
      <c r="F184" s="11">
        <v>180</v>
      </c>
      <c r="G184" s="11" t="s">
        <v>429</v>
      </c>
      <c r="H184" s="11" t="s">
        <v>80</v>
      </c>
      <c r="I184" s="11" t="s">
        <v>81</v>
      </c>
      <c r="J184" s="11" t="s">
        <v>82</v>
      </c>
      <c r="K184" s="11" t="s">
        <v>83</v>
      </c>
      <c r="L184" s="6" t="s">
        <v>430</v>
      </c>
    </row>
    <row r="185" spans="1:12">
      <c r="A185" s="6" t="s">
        <v>431</v>
      </c>
      <c r="B185" s="6" t="s">
        <v>78</v>
      </c>
      <c r="C185" s="11">
        <v>0</v>
      </c>
      <c r="D185" s="11" t="s">
        <v>45</v>
      </c>
      <c r="E185" s="11">
        <v>-1000</v>
      </c>
      <c r="F185" s="11">
        <v>1000</v>
      </c>
      <c r="G185" s="11" t="s">
        <v>172</v>
      </c>
      <c r="H185" s="11" t="s">
        <v>80</v>
      </c>
      <c r="I185" s="11" t="s">
        <v>81</v>
      </c>
      <c r="J185" s="11" t="s">
        <v>82</v>
      </c>
      <c r="K185" s="11" t="s">
        <v>83</v>
      </c>
      <c r="L185" s="6" t="s">
        <v>432</v>
      </c>
    </row>
    <row r="186" spans="1:12">
      <c r="A186" s="6" t="s">
        <v>433</v>
      </c>
      <c r="B186" s="6" t="s">
        <v>78</v>
      </c>
      <c r="C186" s="11">
        <v>0</v>
      </c>
      <c r="D186" s="11" t="s">
        <v>45</v>
      </c>
      <c r="E186" s="11">
        <v>-1000</v>
      </c>
      <c r="F186" s="11">
        <v>1000</v>
      </c>
      <c r="G186" s="11" t="s">
        <v>172</v>
      </c>
      <c r="H186" s="11" t="s">
        <v>80</v>
      </c>
      <c r="I186" s="11" t="s">
        <v>81</v>
      </c>
      <c r="J186" s="11" t="s">
        <v>82</v>
      </c>
      <c r="K186" s="11" t="s">
        <v>83</v>
      </c>
      <c r="L186" s="6" t="s">
        <v>434</v>
      </c>
    </row>
    <row r="187" spans="1:12">
      <c r="A187" s="6" t="s">
        <v>435</v>
      </c>
      <c r="B187" s="6" t="s">
        <v>78</v>
      </c>
      <c r="C187" s="11">
        <v>15</v>
      </c>
      <c r="D187" s="11" t="s">
        <v>45</v>
      </c>
      <c r="E187" s="11">
        <v>0</v>
      </c>
      <c r="F187" s="11">
        <v>100</v>
      </c>
      <c r="G187" s="11" t="s">
        <v>172</v>
      </c>
      <c r="H187" s="11" t="s">
        <v>80</v>
      </c>
      <c r="I187" s="11" t="s">
        <v>81</v>
      </c>
      <c r="J187" s="11" t="s">
        <v>82</v>
      </c>
      <c r="K187" s="11" t="s">
        <v>83</v>
      </c>
      <c r="L187" s="6" t="s">
        <v>427</v>
      </c>
    </row>
    <row r="188" spans="1:12">
      <c r="A188" s="6" t="s">
        <v>436</v>
      </c>
      <c r="B188" s="6" t="s">
        <v>78</v>
      </c>
      <c r="C188" s="11">
        <v>-380</v>
      </c>
      <c r="D188" s="11" t="s">
        <v>45</v>
      </c>
      <c r="E188" s="11">
        <v>-1000</v>
      </c>
      <c r="F188" s="11">
        <v>0</v>
      </c>
      <c r="G188" s="11" t="s">
        <v>172</v>
      </c>
      <c r="H188" s="11" t="s">
        <v>80</v>
      </c>
      <c r="I188" s="11" t="s">
        <v>81</v>
      </c>
      <c r="J188" s="11" t="s">
        <v>82</v>
      </c>
      <c r="K188" s="11" t="s">
        <v>83</v>
      </c>
      <c r="L188" s="6" t="s">
        <v>437</v>
      </c>
    </row>
    <row r="189" spans="1:12">
      <c r="A189" s="6" t="s">
        <v>438</v>
      </c>
      <c r="B189" s="6" t="s">
        <v>78</v>
      </c>
      <c r="C189" s="11">
        <v>0.08</v>
      </c>
      <c r="D189" s="11" t="s">
        <v>45</v>
      </c>
      <c r="E189" s="11">
        <v>0</v>
      </c>
      <c r="F189" s="11">
        <v>1</v>
      </c>
      <c r="G189" s="11" t="s">
        <v>439</v>
      </c>
      <c r="H189" s="11" t="s">
        <v>80</v>
      </c>
      <c r="I189" s="11" t="s">
        <v>81</v>
      </c>
      <c r="J189" s="11" t="s">
        <v>82</v>
      </c>
      <c r="K189" s="11" t="s">
        <v>83</v>
      </c>
      <c r="L189" s="6" t="s">
        <v>440</v>
      </c>
    </row>
    <row r="190" spans="1:12">
      <c r="A190" s="6" t="s">
        <v>441</v>
      </c>
      <c r="B190" s="6" t="s">
        <v>78</v>
      </c>
      <c r="C190" s="11">
        <v>0.08</v>
      </c>
      <c r="D190" s="11" t="s">
        <v>45</v>
      </c>
      <c r="E190" s="11">
        <v>0</v>
      </c>
      <c r="F190" s="11">
        <v>1</v>
      </c>
      <c r="G190" s="11" t="s">
        <v>439</v>
      </c>
      <c r="H190" s="11" t="s">
        <v>80</v>
      </c>
      <c r="I190" s="11" t="s">
        <v>81</v>
      </c>
      <c r="J190" s="11" t="s">
        <v>82</v>
      </c>
      <c r="K190" s="11" t="s">
        <v>83</v>
      </c>
      <c r="L190" s="6" t="s">
        <v>442</v>
      </c>
    </row>
    <row r="191" spans="1:12">
      <c r="A191" s="6" t="s">
        <v>443</v>
      </c>
      <c r="B191" s="6" t="s">
        <v>78</v>
      </c>
      <c r="C191" s="11">
        <v>0.01</v>
      </c>
      <c r="D191" s="11" t="s">
        <v>45</v>
      </c>
      <c r="E191" s="11">
        <v>0</v>
      </c>
      <c r="F191" s="11">
        <v>1</v>
      </c>
      <c r="G191" s="11" t="s">
        <v>439</v>
      </c>
      <c r="H191" s="11" t="s">
        <v>80</v>
      </c>
      <c r="I191" s="11" t="s">
        <v>81</v>
      </c>
      <c r="J191" s="11" t="s">
        <v>82</v>
      </c>
      <c r="K191" s="11" t="s">
        <v>83</v>
      </c>
      <c r="L191" s="6" t="s">
        <v>444</v>
      </c>
    </row>
    <row r="192" spans="1:12">
      <c r="A192" s="6" t="s">
        <v>445</v>
      </c>
      <c r="B192" s="6" t="s">
        <v>78</v>
      </c>
      <c r="C192" s="11">
        <v>0.5</v>
      </c>
      <c r="D192" s="11" t="s">
        <v>45</v>
      </c>
      <c r="E192" s="11">
        <v>0</v>
      </c>
      <c r="F192" s="11">
        <v>1</v>
      </c>
      <c r="G192" s="11" t="s">
        <v>79</v>
      </c>
      <c r="H192" s="11" t="s">
        <v>80</v>
      </c>
      <c r="I192" s="11" t="s">
        <v>81</v>
      </c>
      <c r="J192" s="11" t="s">
        <v>82</v>
      </c>
      <c r="K192" s="11" t="s">
        <v>83</v>
      </c>
      <c r="L192" s="6" t="s">
        <v>446</v>
      </c>
    </row>
    <row r="193" spans="1:12">
      <c r="A193" s="6" t="s">
        <v>447</v>
      </c>
      <c r="B193" s="6" t="s">
        <v>78</v>
      </c>
      <c r="C193" s="11">
        <v>0</v>
      </c>
      <c r="D193" s="11" t="s">
        <v>46</v>
      </c>
      <c r="E193" s="11">
        <v>0</v>
      </c>
      <c r="F193" s="11">
        <v>1</v>
      </c>
      <c r="G193" s="11" t="s">
        <v>79</v>
      </c>
      <c r="H193" s="11" t="s">
        <v>80</v>
      </c>
      <c r="I193" s="11" t="s">
        <v>81</v>
      </c>
      <c r="J193" s="11" t="s">
        <v>82</v>
      </c>
      <c r="K193" s="11" t="s">
        <v>83</v>
      </c>
      <c r="L193" s="6" t="s">
        <v>448</v>
      </c>
    </row>
    <row r="194" spans="1:12">
      <c r="A194" s="6" t="s">
        <v>449</v>
      </c>
      <c r="B194" s="6" t="s">
        <v>78</v>
      </c>
      <c r="C194" s="11">
        <v>0</v>
      </c>
      <c r="D194" s="11" t="s">
        <v>45</v>
      </c>
      <c r="E194" s="11">
        <v>0</v>
      </c>
      <c r="F194" s="11">
        <v>0.2</v>
      </c>
      <c r="G194" s="11" t="s">
        <v>79</v>
      </c>
      <c r="H194" s="11" t="s">
        <v>80</v>
      </c>
      <c r="I194" s="11" t="s">
        <v>81</v>
      </c>
      <c r="J194" s="11" t="s">
        <v>82</v>
      </c>
      <c r="K194" s="11" t="s">
        <v>83</v>
      </c>
      <c r="L194" s="6" t="s">
        <v>450</v>
      </c>
    </row>
    <row r="195" spans="1:12">
      <c r="A195" s="6" t="s">
        <v>451</v>
      </c>
      <c r="B195" s="6" t="s">
        <v>78</v>
      </c>
      <c r="C195" s="11">
        <v>8000</v>
      </c>
      <c r="D195" s="11" t="s">
        <v>45</v>
      </c>
      <c r="E195" s="11">
        <v>0</v>
      </c>
      <c r="F195" s="11">
        <v>120000</v>
      </c>
      <c r="G195" s="11" t="s">
        <v>79</v>
      </c>
      <c r="H195" s="11" t="s">
        <v>80</v>
      </c>
      <c r="I195" s="11" t="s">
        <v>81</v>
      </c>
      <c r="J195" s="11" t="s">
        <v>82</v>
      </c>
      <c r="K195" s="11" t="s">
        <v>83</v>
      </c>
      <c r="L195" s="6" t="s">
        <v>452</v>
      </c>
    </row>
    <row r="196" spans="1:12">
      <c r="A196" s="6" t="s">
        <v>453</v>
      </c>
      <c r="B196" s="6" t="s">
        <v>78</v>
      </c>
      <c r="C196" s="11">
        <v>50</v>
      </c>
      <c r="D196" s="11" t="s">
        <v>45</v>
      </c>
      <c r="E196" s="11">
        <v>0</v>
      </c>
      <c r="F196" s="11">
        <v>300</v>
      </c>
      <c r="G196" s="11" t="s">
        <v>79</v>
      </c>
      <c r="H196" s="11" t="s">
        <v>80</v>
      </c>
      <c r="I196" s="11" t="s">
        <v>81</v>
      </c>
      <c r="J196" s="11" t="s">
        <v>82</v>
      </c>
      <c r="K196" s="11" t="s">
        <v>83</v>
      </c>
      <c r="L196" s="6" t="s">
        <v>454</v>
      </c>
    </row>
    <row r="197" spans="1:12">
      <c r="A197" s="6" t="s">
        <v>455</v>
      </c>
      <c r="B197" s="6" t="s">
        <v>78</v>
      </c>
      <c r="C197" s="11">
        <v>3</v>
      </c>
      <c r="D197" s="11" t="s">
        <v>45</v>
      </c>
      <c r="E197" s="11">
        <v>0</v>
      </c>
      <c r="F197" s="11">
        <v>50</v>
      </c>
      <c r="G197" s="11" t="s">
        <v>79</v>
      </c>
      <c r="H197" s="11" t="s">
        <v>80</v>
      </c>
      <c r="I197" s="11" t="s">
        <v>81</v>
      </c>
      <c r="J197" s="11" t="s">
        <v>82</v>
      </c>
      <c r="K197" s="11" t="s">
        <v>83</v>
      </c>
      <c r="L197" s="6" t="s">
        <v>456</v>
      </c>
    </row>
    <row r="198" spans="1:12">
      <c r="A198" s="6" t="s">
        <v>457</v>
      </c>
      <c r="B198" s="6" t="s">
        <v>78</v>
      </c>
      <c r="C198" s="11">
        <v>30</v>
      </c>
      <c r="D198" s="11" t="s">
        <v>45</v>
      </c>
      <c r="E198" s="11">
        <v>0</v>
      </c>
      <c r="F198" s="11">
        <v>1000</v>
      </c>
      <c r="G198" s="11" t="s">
        <v>79</v>
      </c>
      <c r="H198" s="11" t="s">
        <v>80</v>
      </c>
      <c r="I198" s="11" t="s">
        <v>81</v>
      </c>
      <c r="J198" s="11" t="s">
        <v>82</v>
      </c>
      <c r="K198" s="11" t="s">
        <v>83</v>
      </c>
      <c r="L198" s="6" t="s">
        <v>458</v>
      </c>
    </row>
    <row r="199" spans="1:12">
      <c r="A199" s="6" t="s">
        <v>459</v>
      </c>
      <c r="B199" s="6" t="s">
        <v>78</v>
      </c>
      <c r="C199" s="11">
        <v>3</v>
      </c>
      <c r="D199" s="11" t="s">
        <v>45</v>
      </c>
      <c r="E199" s="11">
        <v>0</v>
      </c>
      <c r="F199" s="11">
        <v>50</v>
      </c>
      <c r="G199" s="11" t="s">
        <v>79</v>
      </c>
      <c r="H199" s="11" t="s">
        <v>80</v>
      </c>
      <c r="I199" s="11" t="s">
        <v>81</v>
      </c>
      <c r="J199" s="11" t="s">
        <v>82</v>
      </c>
      <c r="K199" s="11" t="s">
        <v>83</v>
      </c>
      <c r="L199" s="6" t="s">
        <v>456</v>
      </c>
    </row>
    <row r="200" ht="12.75" customHeight="1" spans="1:12">
      <c r="A200" s="6" t="s">
        <v>460</v>
      </c>
      <c r="B200" s="6" t="s">
        <v>78</v>
      </c>
      <c r="C200" s="11">
        <v>30</v>
      </c>
      <c r="D200" s="11" t="s">
        <v>45</v>
      </c>
      <c r="E200" s="11">
        <v>0</v>
      </c>
      <c r="F200" s="11">
        <v>1000</v>
      </c>
      <c r="G200" s="11" t="s">
        <v>79</v>
      </c>
      <c r="H200" s="11" t="s">
        <v>80</v>
      </c>
      <c r="I200" s="11" t="s">
        <v>81</v>
      </c>
      <c r="J200" s="11" t="s">
        <v>82</v>
      </c>
      <c r="K200" s="11" t="s">
        <v>83</v>
      </c>
      <c r="L200" s="6" t="s">
        <v>458</v>
      </c>
    </row>
    <row r="201" spans="1:12">
      <c r="A201" s="6" t="s">
        <v>461</v>
      </c>
      <c r="B201" s="6" t="s">
        <v>78</v>
      </c>
      <c r="C201" s="11">
        <v>1600</v>
      </c>
      <c r="D201" s="11" t="s">
        <v>45</v>
      </c>
      <c r="E201" s="11">
        <v>0</v>
      </c>
      <c r="F201" s="11">
        <v>1600</v>
      </c>
      <c r="G201" s="11" t="s">
        <v>217</v>
      </c>
      <c r="H201" s="11" t="s">
        <v>80</v>
      </c>
      <c r="I201" s="11" t="s">
        <v>81</v>
      </c>
      <c r="J201" s="11" t="s">
        <v>82</v>
      </c>
      <c r="K201" s="11" t="s">
        <v>83</v>
      </c>
      <c r="L201" s="6" t="s">
        <v>462</v>
      </c>
    </row>
    <row r="202" spans="1:12">
      <c r="A202" s="6" t="s">
        <v>463</v>
      </c>
      <c r="B202" s="6" t="s">
        <v>78</v>
      </c>
      <c r="C202" s="11">
        <v>100</v>
      </c>
      <c r="D202" s="11" t="s">
        <v>45</v>
      </c>
      <c r="E202" s="11">
        <v>0</v>
      </c>
      <c r="F202" s="11">
        <v>1600</v>
      </c>
      <c r="G202" s="11" t="s">
        <v>217</v>
      </c>
      <c r="H202" s="11" t="s">
        <v>80</v>
      </c>
      <c r="I202" s="11" t="s">
        <v>81</v>
      </c>
      <c r="J202" s="11" t="s">
        <v>82</v>
      </c>
      <c r="K202" s="11" t="s">
        <v>83</v>
      </c>
      <c r="L202" s="6" t="s">
        <v>462</v>
      </c>
    </row>
    <row r="203" spans="1:12">
      <c r="A203" s="6" t="s">
        <v>464</v>
      </c>
      <c r="B203" s="6" t="s">
        <v>78</v>
      </c>
      <c r="C203" s="11">
        <v>50</v>
      </c>
      <c r="D203" s="11" t="s">
        <v>45</v>
      </c>
      <c r="E203" s="11">
        <v>0</v>
      </c>
      <c r="F203" s="11">
        <v>100</v>
      </c>
      <c r="G203" s="11" t="s">
        <v>172</v>
      </c>
      <c r="H203" s="11" t="s">
        <v>80</v>
      </c>
      <c r="I203" s="11" t="s">
        <v>81</v>
      </c>
      <c r="J203" s="11" t="s">
        <v>82</v>
      </c>
      <c r="K203" s="11" t="s">
        <v>83</v>
      </c>
      <c r="L203" s="6" t="s">
        <v>465</v>
      </c>
    </row>
    <row r="204" spans="1:12">
      <c r="A204" s="6" t="s">
        <v>466</v>
      </c>
      <c r="B204" s="6" t="s">
        <v>78</v>
      </c>
      <c r="C204" s="11">
        <v>62914</v>
      </c>
      <c r="D204" s="11" t="s">
        <v>45</v>
      </c>
      <c r="E204" s="11">
        <v>0</v>
      </c>
      <c r="F204" s="11">
        <v>65535</v>
      </c>
      <c r="G204" s="11" t="s">
        <v>79</v>
      </c>
      <c r="H204" s="11" t="s">
        <v>80</v>
      </c>
      <c r="I204" s="11" t="s">
        <v>81</v>
      </c>
      <c r="J204" s="11" t="s">
        <v>82</v>
      </c>
      <c r="K204" s="11" t="s">
        <v>83</v>
      </c>
      <c r="L204" s="6" t="s">
        <v>467</v>
      </c>
    </row>
    <row r="205" spans="1:12">
      <c r="A205" s="6" t="s">
        <v>468</v>
      </c>
      <c r="B205" s="6" t="s">
        <v>78</v>
      </c>
      <c r="C205" s="11">
        <v>1311</v>
      </c>
      <c r="D205" s="11" t="s">
        <v>45</v>
      </c>
      <c r="E205" s="11">
        <v>0</v>
      </c>
      <c r="F205" s="11">
        <v>65535</v>
      </c>
      <c r="G205" s="11" t="s">
        <v>79</v>
      </c>
      <c r="H205" s="11" t="s">
        <v>80</v>
      </c>
      <c r="I205" s="11" t="s">
        <v>81</v>
      </c>
      <c r="J205" s="11" t="s">
        <v>82</v>
      </c>
      <c r="K205" s="11" t="s">
        <v>83</v>
      </c>
      <c r="L205" s="6" t="s">
        <v>469</v>
      </c>
    </row>
    <row r="206" spans="1:12">
      <c r="A206" s="6" t="s">
        <v>470</v>
      </c>
      <c r="B206" s="6" t="s">
        <v>78</v>
      </c>
      <c r="C206" s="11">
        <v>4850</v>
      </c>
      <c r="D206" s="11" t="s">
        <v>45</v>
      </c>
      <c r="E206" s="11">
        <v>0</v>
      </c>
      <c r="F206" s="11">
        <v>65535</v>
      </c>
      <c r="G206" s="11" t="s">
        <v>79</v>
      </c>
      <c r="H206" s="11" t="s">
        <v>80</v>
      </c>
      <c r="I206" s="11" t="s">
        <v>81</v>
      </c>
      <c r="J206" s="11" t="s">
        <v>82</v>
      </c>
      <c r="K206" s="11" t="s">
        <v>83</v>
      </c>
      <c r="L206" s="6" t="s">
        <v>471</v>
      </c>
    </row>
    <row r="207" spans="1:12">
      <c r="A207" s="6" t="s">
        <v>472</v>
      </c>
      <c r="B207" s="6" t="s">
        <v>78</v>
      </c>
      <c r="C207" s="11" t="s">
        <v>473</v>
      </c>
      <c r="D207" s="11" t="s">
        <v>45</v>
      </c>
      <c r="E207" s="11">
        <v>-0.6</v>
      </c>
      <c r="F207" s="11">
        <v>0.6</v>
      </c>
      <c r="G207" s="11" t="s">
        <v>79</v>
      </c>
      <c r="H207" s="11" t="s">
        <v>80</v>
      </c>
      <c r="I207" s="11" t="s">
        <v>81</v>
      </c>
      <c r="J207" s="11" t="s">
        <v>82</v>
      </c>
      <c r="K207" s="11" t="s">
        <v>83</v>
      </c>
      <c r="L207" s="6" t="s">
        <v>474</v>
      </c>
    </row>
    <row r="208" spans="1:12">
      <c r="A208" s="6" t="s">
        <v>475</v>
      </c>
      <c r="B208" s="6" t="s">
        <v>78</v>
      </c>
      <c r="C208" s="11">
        <v>32767</v>
      </c>
      <c r="D208" s="11" t="s">
        <v>41</v>
      </c>
      <c r="E208" s="11">
        <v>0</v>
      </c>
      <c r="F208" s="11">
        <v>65535</v>
      </c>
      <c r="G208" s="11" t="s">
        <v>79</v>
      </c>
      <c r="H208" s="11" t="s">
        <v>80</v>
      </c>
      <c r="I208" s="11" t="s">
        <v>81</v>
      </c>
      <c r="J208" s="11" t="s">
        <v>82</v>
      </c>
      <c r="K208" s="11" t="s">
        <v>83</v>
      </c>
      <c r="L208" s="6" t="s">
        <v>476</v>
      </c>
    </row>
    <row r="209" spans="1:12">
      <c r="A209" s="6" t="s">
        <v>477</v>
      </c>
      <c r="B209" s="6" t="s">
        <v>78</v>
      </c>
      <c r="C209" s="11">
        <v>0.01</v>
      </c>
      <c r="D209" s="11" t="s">
        <v>45</v>
      </c>
      <c r="E209" s="11">
        <v>0</v>
      </c>
      <c r="F209" s="11">
        <v>1</v>
      </c>
      <c r="G209" s="11" t="s">
        <v>79</v>
      </c>
      <c r="H209" s="11" t="s">
        <v>80</v>
      </c>
      <c r="I209" s="11" t="s">
        <v>81</v>
      </c>
      <c r="J209" s="11" t="s">
        <v>82</v>
      </c>
      <c r="K209" s="11" t="s">
        <v>83</v>
      </c>
      <c r="L209" s="6" t="s">
        <v>478</v>
      </c>
    </row>
    <row r="210" spans="1:12">
      <c r="A210" s="6" t="s">
        <v>479</v>
      </c>
      <c r="B210" s="6" t="s">
        <v>78</v>
      </c>
      <c r="C210" s="11" t="s">
        <v>480</v>
      </c>
      <c r="D210" s="11" t="s">
        <v>45</v>
      </c>
      <c r="E210" s="11">
        <v>0</v>
      </c>
      <c r="F210" s="11">
        <v>1</v>
      </c>
      <c r="G210" s="11" t="s">
        <v>79</v>
      </c>
      <c r="H210" s="11" t="s">
        <v>80</v>
      </c>
      <c r="I210" s="11" t="s">
        <v>81</v>
      </c>
      <c r="J210" s="11" t="s">
        <v>82</v>
      </c>
      <c r="K210" s="11" t="s">
        <v>83</v>
      </c>
      <c r="L210" s="6" t="s">
        <v>481</v>
      </c>
    </row>
    <row r="211" spans="1:12">
      <c r="A211" s="6" t="s">
        <v>482</v>
      </c>
      <c r="B211" s="6" t="s">
        <v>78</v>
      </c>
      <c r="C211" s="11">
        <v>60</v>
      </c>
      <c r="D211" s="11" t="s">
        <v>45</v>
      </c>
      <c r="E211" s="11">
        <v>0</v>
      </c>
      <c r="F211" s="11">
        <v>512</v>
      </c>
      <c r="G211" s="11" t="s">
        <v>94</v>
      </c>
      <c r="H211" s="11" t="s">
        <v>80</v>
      </c>
      <c r="I211" s="11" t="s">
        <v>81</v>
      </c>
      <c r="J211" s="11" t="s">
        <v>82</v>
      </c>
      <c r="K211" s="11" t="s">
        <v>83</v>
      </c>
      <c r="L211" s="6" t="s">
        <v>483</v>
      </c>
    </row>
    <row r="212" spans="1:12">
      <c r="A212" s="6" t="s">
        <v>484</v>
      </c>
      <c r="B212" s="6" t="s">
        <v>78</v>
      </c>
      <c r="C212" s="11">
        <v>-60</v>
      </c>
      <c r="D212" s="11" t="s">
        <v>45</v>
      </c>
      <c r="E212" s="11">
        <v>-512</v>
      </c>
      <c r="F212" s="11">
        <v>0</v>
      </c>
      <c r="G212" s="11" t="s">
        <v>94</v>
      </c>
      <c r="H212" s="11" t="s">
        <v>80</v>
      </c>
      <c r="I212" s="11" t="s">
        <v>81</v>
      </c>
      <c r="J212" s="11" t="s">
        <v>82</v>
      </c>
      <c r="K212" s="11" t="s">
        <v>83</v>
      </c>
      <c r="L212" s="6" t="s">
        <v>483</v>
      </c>
    </row>
    <row r="213" spans="1:12">
      <c r="A213" s="6" t="s">
        <v>485</v>
      </c>
      <c r="B213" s="6" t="s">
        <v>78</v>
      </c>
      <c r="C213" s="11">
        <v>0.1</v>
      </c>
      <c r="D213" s="11" t="s">
        <v>45</v>
      </c>
      <c r="E213" s="11">
        <v>0</v>
      </c>
      <c r="F213" s="11">
        <v>1</v>
      </c>
      <c r="G213" s="11" t="s">
        <v>439</v>
      </c>
      <c r="H213" s="11" t="s">
        <v>80</v>
      </c>
      <c r="I213" s="11" t="s">
        <v>81</v>
      </c>
      <c r="J213" s="11" t="s">
        <v>82</v>
      </c>
      <c r="K213" s="11" t="s">
        <v>83</v>
      </c>
      <c r="L213" s="6" t="s">
        <v>486</v>
      </c>
    </row>
    <row r="214" spans="1:12">
      <c r="A214" s="19" t="s">
        <v>487</v>
      </c>
      <c r="B214" s="6" t="s">
        <v>78</v>
      </c>
      <c r="C214" s="11">
        <v>0</v>
      </c>
      <c r="D214" s="11" t="s">
        <v>46</v>
      </c>
      <c r="E214" s="11">
        <v>0</v>
      </c>
      <c r="F214" s="11">
        <v>1</v>
      </c>
      <c r="G214" s="11" t="s">
        <v>79</v>
      </c>
      <c r="H214" s="11" t="s">
        <v>80</v>
      </c>
      <c r="I214" s="11" t="s">
        <v>81</v>
      </c>
      <c r="J214" s="11" t="s">
        <v>82</v>
      </c>
      <c r="K214" s="11" t="s">
        <v>83</v>
      </c>
      <c r="L214" s="6" t="s">
        <v>488</v>
      </c>
    </row>
    <row r="215" spans="1:12">
      <c r="A215" s="6" t="s">
        <v>489</v>
      </c>
      <c r="B215" s="6" t="s">
        <v>78</v>
      </c>
      <c r="C215" s="11">
        <v>3</v>
      </c>
      <c r="D215" s="11" t="s">
        <v>38</v>
      </c>
      <c r="E215" s="11">
        <v>0</v>
      </c>
      <c r="F215" s="11">
        <v>255</v>
      </c>
      <c r="G215" s="11" t="s">
        <v>79</v>
      </c>
      <c r="H215" s="11" t="s">
        <v>80</v>
      </c>
      <c r="I215" s="11" t="s">
        <v>81</v>
      </c>
      <c r="J215" s="11" t="s">
        <v>82</v>
      </c>
      <c r="K215" s="11" t="s">
        <v>83</v>
      </c>
      <c r="L215" s="6" t="s">
        <v>490</v>
      </c>
    </row>
    <row r="216" spans="1:12">
      <c r="A216" s="6" t="s">
        <v>491</v>
      </c>
      <c r="B216" s="6" t="s">
        <v>78</v>
      </c>
      <c r="C216" s="11">
        <v>470</v>
      </c>
      <c r="D216" s="11" t="s">
        <v>45</v>
      </c>
      <c r="E216" s="11">
        <v>0</v>
      </c>
      <c r="F216" s="11">
        <v>1000</v>
      </c>
      <c r="G216" s="11" t="s">
        <v>172</v>
      </c>
      <c r="H216" s="11" t="s">
        <v>80</v>
      </c>
      <c r="I216" s="11" t="s">
        <v>81</v>
      </c>
      <c r="J216" s="11" t="s">
        <v>82</v>
      </c>
      <c r="K216" s="11" t="s">
        <v>83</v>
      </c>
      <c r="L216" s="6" t="s">
        <v>492</v>
      </c>
    </row>
    <row r="217" spans="1:12">
      <c r="A217" s="6" t="s">
        <v>493</v>
      </c>
      <c r="B217" s="6" t="s">
        <v>78</v>
      </c>
      <c r="C217" s="10">
        <v>17820</v>
      </c>
      <c r="D217" s="11" t="s">
        <v>45</v>
      </c>
      <c r="E217" s="11">
        <v>0</v>
      </c>
      <c r="F217" s="11">
        <v>32767</v>
      </c>
      <c r="G217" s="11" t="s">
        <v>79</v>
      </c>
      <c r="H217" s="11" t="s">
        <v>80</v>
      </c>
      <c r="I217" s="11" t="s">
        <v>81</v>
      </c>
      <c r="J217" s="11" t="s">
        <v>82</v>
      </c>
      <c r="K217" s="11" t="s">
        <v>83</v>
      </c>
      <c r="L217" s="6" t="s">
        <v>494</v>
      </c>
    </row>
    <row r="218" spans="1:12">
      <c r="A218" s="6" t="s">
        <v>495</v>
      </c>
      <c r="B218" s="6" t="s">
        <v>78</v>
      </c>
      <c r="C218" s="10">
        <v>14580</v>
      </c>
      <c r="D218" s="11" t="s">
        <v>45</v>
      </c>
      <c r="E218" s="11">
        <v>0</v>
      </c>
      <c r="F218" s="11">
        <v>32767</v>
      </c>
      <c r="G218" s="11" t="s">
        <v>79</v>
      </c>
      <c r="H218" s="11" t="s">
        <v>80</v>
      </c>
      <c r="I218" s="11" t="s">
        <v>81</v>
      </c>
      <c r="J218" s="11" t="s">
        <v>82</v>
      </c>
      <c r="K218" s="11" t="s">
        <v>83</v>
      </c>
      <c r="L218" s="6" t="s">
        <v>496</v>
      </c>
    </row>
    <row r="219" spans="1:12">
      <c r="A219" s="6" t="s">
        <v>497</v>
      </c>
      <c r="B219" s="6" t="s">
        <v>78</v>
      </c>
      <c r="C219" s="11">
        <v>300</v>
      </c>
      <c r="D219" s="11" t="s">
        <v>45</v>
      </c>
      <c r="E219" s="11">
        <v>0</v>
      </c>
      <c r="F219" s="11">
        <v>32767</v>
      </c>
      <c r="G219" s="11" t="s">
        <v>79</v>
      </c>
      <c r="H219" s="11" t="s">
        <v>80</v>
      </c>
      <c r="I219" s="11" t="s">
        <v>81</v>
      </c>
      <c r="J219" s="11" t="s">
        <v>82</v>
      </c>
      <c r="K219" s="11" t="s">
        <v>83</v>
      </c>
      <c r="L219" s="6" t="s">
        <v>498</v>
      </c>
    </row>
    <row r="220" spans="1:12">
      <c r="A220" s="6" t="s">
        <v>499</v>
      </c>
      <c r="B220" s="6" t="s">
        <v>78</v>
      </c>
      <c r="C220" s="11">
        <v>300</v>
      </c>
      <c r="D220" s="11" t="s">
        <v>45</v>
      </c>
      <c r="E220" s="11">
        <v>0</v>
      </c>
      <c r="F220" s="11">
        <v>32767</v>
      </c>
      <c r="G220" s="11" t="s">
        <v>79</v>
      </c>
      <c r="H220" s="11" t="s">
        <v>80</v>
      </c>
      <c r="I220" s="11" t="s">
        <v>81</v>
      </c>
      <c r="J220" s="11" t="s">
        <v>82</v>
      </c>
      <c r="K220" s="11" t="s">
        <v>83</v>
      </c>
      <c r="L220" s="6" t="s">
        <v>500</v>
      </c>
    </row>
    <row r="221" spans="1:12">
      <c r="A221" s="6" t="s">
        <v>501</v>
      </c>
      <c r="B221" s="6" t="s">
        <v>78</v>
      </c>
      <c r="C221" s="11">
        <v>1000</v>
      </c>
      <c r="D221" s="11" t="s">
        <v>45</v>
      </c>
      <c r="E221" s="11">
        <v>0</v>
      </c>
      <c r="F221" s="11">
        <v>32767</v>
      </c>
      <c r="G221" s="11" t="s">
        <v>79</v>
      </c>
      <c r="H221" s="11" t="s">
        <v>80</v>
      </c>
      <c r="I221" s="11" t="s">
        <v>81</v>
      </c>
      <c r="J221" s="11" t="s">
        <v>82</v>
      </c>
      <c r="K221" s="11" t="s">
        <v>83</v>
      </c>
      <c r="L221" s="6" t="s">
        <v>502</v>
      </c>
    </row>
    <row r="222" spans="1:12">
      <c r="A222" s="6" t="s">
        <v>503</v>
      </c>
      <c r="B222" s="6" t="s">
        <v>78</v>
      </c>
      <c r="C222" s="10">
        <v>26400</v>
      </c>
      <c r="D222" s="11" t="s">
        <v>45</v>
      </c>
      <c r="E222" s="11">
        <v>0</v>
      </c>
      <c r="F222" s="11">
        <v>32767</v>
      </c>
      <c r="G222" s="11" t="s">
        <v>79</v>
      </c>
      <c r="H222" s="11" t="s">
        <v>80</v>
      </c>
      <c r="I222" s="11" t="s">
        <v>81</v>
      </c>
      <c r="J222" s="11" t="s">
        <v>82</v>
      </c>
      <c r="K222" s="11" t="s">
        <v>83</v>
      </c>
      <c r="L222" s="6" t="s">
        <v>504</v>
      </c>
    </row>
    <row r="223" spans="1:12">
      <c r="A223" s="6" t="s">
        <v>505</v>
      </c>
      <c r="B223" s="6" t="s">
        <v>78</v>
      </c>
      <c r="C223" s="10">
        <v>2048</v>
      </c>
      <c r="D223" s="11" t="s">
        <v>45</v>
      </c>
      <c r="E223" s="11">
        <v>0</v>
      </c>
      <c r="F223" s="11">
        <v>32767</v>
      </c>
      <c r="G223" s="11" t="s">
        <v>79</v>
      </c>
      <c r="H223" s="11" t="s">
        <v>80</v>
      </c>
      <c r="I223" s="11" t="s">
        <v>81</v>
      </c>
      <c r="J223" s="11" t="s">
        <v>82</v>
      </c>
      <c r="K223" s="11" t="s">
        <v>83</v>
      </c>
      <c r="L223" s="6" t="s">
        <v>506</v>
      </c>
    </row>
    <row r="224" spans="1:12">
      <c r="A224" s="6" t="s">
        <v>507</v>
      </c>
      <c r="B224" s="6" t="s">
        <v>78</v>
      </c>
      <c r="C224" s="11">
        <v>3000</v>
      </c>
      <c r="D224" s="11" t="s">
        <v>45</v>
      </c>
      <c r="E224" s="11">
        <v>0</v>
      </c>
      <c r="F224" s="11">
        <v>32767</v>
      </c>
      <c r="G224" s="11" t="s">
        <v>79</v>
      </c>
      <c r="H224" s="11" t="s">
        <v>80</v>
      </c>
      <c r="I224" s="11" t="s">
        <v>81</v>
      </c>
      <c r="J224" s="11" t="s">
        <v>82</v>
      </c>
      <c r="K224" s="11" t="s">
        <v>83</v>
      </c>
      <c r="L224" s="6" t="s">
        <v>508</v>
      </c>
    </row>
    <row r="225" spans="1:12">
      <c r="A225" s="6" t="s">
        <v>509</v>
      </c>
      <c r="B225" s="6" t="s">
        <v>78</v>
      </c>
      <c r="C225" s="11">
        <v>20</v>
      </c>
      <c r="D225" s="11" t="s">
        <v>45</v>
      </c>
      <c r="E225" s="11">
        <v>0</v>
      </c>
      <c r="F225" s="11">
        <v>2000</v>
      </c>
      <c r="G225" s="11" t="s">
        <v>217</v>
      </c>
      <c r="H225" s="11" t="s">
        <v>80</v>
      </c>
      <c r="I225" s="11" t="s">
        <v>81</v>
      </c>
      <c r="J225" s="11" t="s">
        <v>82</v>
      </c>
      <c r="K225" s="11" t="s">
        <v>83</v>
      </c>
      <c r="L225" s="6" t="s">
        <v>510</v>
      </c>
    </row>
    <row r="226" spans="1:12">
      <c r="A226" s="6" t="s">
        <v>511</v>
      </c>
      <c r="B226" s="6" t="s">
        <v>78</v>
      </c>
      <c r="C226" s="11">
        <v>20</v>
      </c>
      <c r="D226" s="11" t="s">
        <v>45</v>
      </c>
      <c r="E226" s="11">
        <v>0</v>
      </c>
      <c r="F226" s="11">
        <v>100</v>
      </c>
      <c r="G226" s="11" t="s">
        <v>172</v>
      </c>
      <c r="H226" s="11" t="s">
        <v>80</v>
      </c>
      <c r="I226" s="11" t="s">
        <v>81</v>
      </c>
      <c r="J226" s="11" t="s">
        <v>82</v>
      </c>
      <c r="K226" s="11" t="s">
        <v>83</v>
      </c>
      <c r="L226" s="6" t="s">
        <v>512</v>
      </c>
    </row>
    <row r="227" spans="1:12">
      <c r="A227" s="6" t="s">
        <v>513</v>
      </c>
      <c r="B227" s="6" t="s">
        <v>78</v>
      </c>
      <c r="C227" s="11">
        <v>0.05</v>
      </c>
      <c r="D227" s="11" t="s">
        <v>45</v>
      </c>
      <c r="E227" s="11">
        <v>0</v>
      </c>
      <c r="F227" s="11">
        <v>1</v>
      </c>
      <c r="G227" s="11" t="s">
        <v>514</v>
      </c>
      <c r="H227" s="11" t="s">
        <v>80</v>
      </c>
      <c r="I227" s="11" t="s">
        <v>81</v>
      </c>
      <c r="J227" s="11" t="s">
        <v>82</v>
      </c>
      <c r="K227" s="11" t="s">
        <v>83</v>
      </c>
      <c r="L227" s="6" t="s">
        <v>515</v>
      </c>
    </row>
    <row r="228" spans="1:12">
      <c r="A228" s="6" t="s">
        <v>516</v>
      </c>
      <c r="B228" s="6" t="s">
        <v>78</v>
      </c>
      <c r="C228" s="11">
        <v>0.1</v>
      </c>
      <c r="D228" s="11" t="s">
        <v>45</v>
      </c>
      <c r="E228" s="11">
        <v>0</v>
      </c>
      <c r="F228" s="11">
        <v>0.5</v>
      </c>
      <c r="G228" s="11" t="s">
        <v>79</v>
      </c>
      <c r="H228" s="11" t="s">
        <v>80</v>
      </c>
      <c r="I228" s="11" t="s">
        <v>81</v>
      </c>
      <c r="J228" s="11" t="s">
        <v>82</v>
      </c>
      <c r="K228" s="11" t="s">
        <v>83</v>
      </c>
      <c r="L228" s="6" t="s">
        <v>517</v>
      </c>
    </row>
    <row r="229" spans="1:12">
      <c r="A229" s="6" t="s">
        <v>518</v>
      </c>
      <c r="B229" s="6" t="s">
        <v>78</v>
      </c>
      <c r="C229" s="11">
        <v>0.1</v>
      </c>
      <c r="D229" s="11" t="s">
        <v>45</v>
      </c>
      <c r="E229" s="11">
        <v>0</v>
      </c>
      <c r="F229" s="11">
        <v>0.5</v>
      </c>
      <c r="G229" s="11" t="s">
        <v>79</v>
      </c>
      <c r="H229" s="11" t="s">
        <v>80</v>
      </c>
      <c r="I229" s="11" t="s">
        <v>81</v>
      </c>
      <c r="J229" s="11" t="s">
        <v>82</v>
      </c>
      <c r="K229" s="11" t="s">
        <v>83</v>
      </c>
      <c r="L229" s="6" t="s">
        <v>519</v>
      </c>
    </row>
    <row r="230" spans="1:12">
      <c r="A230" s="6" t="s">
        <v>520</v>
      </c>
      <c r="B230" s="6" t="s">
        <v>78</v>
      </c>
      <c r="C230" s="11">
        <v>140</v>
      </c>
      <c r="D230" s="11" t="s">
        <v>45</v>
      </c>
      <c r="E230" s="11">
        <v>0</v>
      </c>
      <c r="F230" s="11">
        <v>200</v>
      </c>
      <c r="G230" s="11" t="s">
        <v>354</v>
      </c>
      <c r="H230" s="11" t="s">
        <v>80</v>
      </c>
      <c r="I230" s="11" t="s">
        <v>81</v>
      </c>
      <c r="J230" s="11" t="s">
        <v>82</v>
      </c>
      <c r="K230" s="11" t="s">
        <v>83</v>
      </c>
      <c r="L230" s="6" t="s">
        <v>521</v>
      </c>
    </row>
    <row r="231" spans="1:12">
      <c r="A231" s="6" t="s">
        <v>522</v>
      </c>
      <c r="B231" s="6" t="s">
        <v>78</v>
      </c>
      <c r="C231" s="11">
        <v>20</v>
      </c>
      <c r="D231" s="11" t="s">
        <v>45</v>
      </c>
      <c r="E231" s="11">
        <v>0</v>
      </c>
      <c r="F231" s="11">
        <v>2000</v>
      </c>
      <c r="G231" s="11" t="s">
        <v>217</v>
      </c>
      <c r="H231" s="11" t="s">
        <v>80</v>
      </c>
      <c r="I231" s="11" t="s">
        <v>81</v>
      </c>
      <c r="J231" s="11" t="s">
        <v>82</v>
      </c>
      <c r="K231" s="11" t="s">
        <v>83</v>
      </c>
      <c r="L231" s="6" t="s">
        <v>523</v>
      </c>
    </row>
    <row r="232" spans="1:12">
      <c r="A232" s="6" t="s">
        <v>524</v>
      </c>
      <c r="B232" s="6" t="s">
        <v>78</v>
      </c>
      <c r="C232" s="11">
        <v>30</v>
      </c>
      <c r="D232" s="11" t="s">
        <v>45</v>
      </c>
      <c r="E232" s="11">
        <v>0</v>
      </c>
      <c r="F232" s="11">
        <v>300</v>
      </c>
      <c r="G232" s="11" t="s">
        <v>172</v>
      </c>
      <c r="H232" s="11" t="s">
        <v>80</v>
      </c>
      <c r="I232" s="11" t="s">
        <v>81</v>
      </c>
      <c r="J232" s="11" t="s">
        <v>82</v>
      </c>
      <c r="K232" s="11" t="s">
        <v>83</v>
      </c>
      <c r="L232" s="6" t="s">
        <v>525</v>
      </c>
    </row>
    <row r="233" spans="1:12">
      <c r="A233" s="6" t="s">
        <v>526</v>
      </c>
      <c r="B233" s="6" t="s">
        <v>78</v>
      </c>
      <c r="C233" s="11">
        <v>20</v>
      </c>
      <c r="D233" s="11" t="s">
        <v>45</v>
      </c>
      <c r="E233" s="11">
        <v>0</v>
      </c>
      <c r="F233" s="11">
        <v>300</v>
      </c>
      <c r="G233" s="11" t="s">
        <v>172</v>
      </c>
      <c r="H233" s="11" t="s">
        <v>80</v>
      </c>
      <c r="I233" s="11" t="s">
        <v>81</v>
      </c>
      <c r="J233" s="11" t="s">
        <v>82</v>
      </c>
      <c r="K233" s="11" t="s">
        <v>83</v>
      </c>
      <c r="L233" s="6" t="s">
        <v>527</v>
      </c>
    </row>
    <row r="234" spans="1:12">
      <c r="A234" s="6" t="s">
        <v>528</v>
      </c>
      <c r="B234" s="6" t="s">
        <v>78</v>
      </c>
      <c r="C234" s="11">
        <v>10000</v>
      </c>
      <c r="D234" s="11" t="s">
        <v>45</v>
      </c>
      <c r="E234" s="11">
        <v>0</v>
      </c>
      <c r="F234" s="11">
        <v>15000</v>
      </c>
      <c r="G234" s="11" t="s">
        <v>235</v>
      </c>
      <c r="H234" s="11" t="s">
        <v>80</v>
      </c>
      <c r="I234" s="11" t="s">
        <v>81</v>
      </c>
      <c r="J234" s="11" t="s">
        <v>82</v>
      </c>
      <c r="K234" s="11" t="s">
        <v>83</v>
      </c>
      <c r="L234" s="6" t="s">
        <v>529</v>
      </c>
    </row>
    <row r="235" spans="1:12">
      <c r="A235" s="6" t="s">
        <v>530</v>
      </c>
      <c r="B235" s="6" t="s">
        <v>78</v>
      </c>
      <c r="C235" s="11">
        <v>200</v>
      </c>
      <c r="D235" s="11" t="s">
        <v>45</v>
      </c>
      <c r="E235" s="11">
        <v>0</v>
      </c>
      <c r="F235" s="11">
        <v>1000</v>
      </c>
      <c r="G235" s="11" t="s">
        <v>235</v>
      </c>
      <c r="H235" s="11" t="s">
        <v>80</v>
      </c>
      <c r="I235" s="11" t="s">
        <v>81</v>
      </c>
      <c r="J235" s="11" t="s">
        <v>82</v>
      </c>
      <c r="K235" s="11" t="s">
        <v>83</v>
      </c>
      <c r="L235" s="6" t="s">
        <v>531</v>
      </c>
    </row>
    <row r="236" spans="1:12">
      <c r="A236" s="6" t="s">
        <v>532</v>
      </c>
      <c r="B236" s="6" t="s">
        <v>78</v>
      </c>
      <c r="C236" s="11">
        <v>17500</v>
      </c>
      <c r="D236" s="11" t="s">
        <v>45</v>
      </c>
      <c r="E236" s="11">
        <v>0</v>
      </c>
      <c r="F236" s="11">
        <v>20000</v>
      </c>
      <c r="G236" s="11" t="s">
        <v>244</v>
      </c>
      <c r="H236" s="11" t="s">
        <v>80</v>
      </c>
      <c r="I236" s="11" t="s">
        <v>81</v>
      </c>
      <c r="J236" s="11" t="s">
        <v>82</v>
      </c>
      <c r="K236" s="11" t="s">
        <v>83</v>
      </c>
      <c r="L236" s="6" t="s">
        <v>533</v>
      </c>
    </row>
    <row r="237" spans="1:12">
      <c r="A237" s="6" t="s">
        <v>534</v>
      </c>
      <c r="B237" s="6" t="s">
        <v>78</v>
      </c>
      <c r="C237" s="11">
        <v>1</v>
      </c>
      <c r="D237" s="11" t="s">
        <v>42</v>
      </c>
      <c r="E237" s="11">
        <v>-1</v>
      </c>
      <c r="F237" s="11">
        <v>1</v>
      </c>
      <c r="G237" s="11" t="s">
        <v>79</v>
      </c>
      <c r="H237" s="11" t="s">
        <v>80</v>
      </c>
      <c r="I237" s="11" t="s">
        <v>81</v>
      </c>
      <c r="J237" s="11" t="s">
        <v>82</v>
      </c>
      <c r="K237" s="11" t="s">
        <v>83</v>
      </c>
      <c r="L237" s="6" t="s">
        <v>535</v>
      </c>
    </row>
    <row r="238" spans="1:12">
      <c r="A238" s="6" t="s">
        <v>536</v>
      </c>
      <c r="B238" s="6" t="s">
        <v>78</v>
      </c>
      <c r="C238" s="11">
        <v>1</v>
      </c>
      <c r="D238" s="11" t="s">
        <v>42</v>
      </c>
      <c r="E238" s="11">
        <v>-1</v>
      </c>
      <c r="F238" s="11">
        <v>1</v>
      </c>
      <c r="G238" s="11" t="s">
        <v>201</v>
      </c>
      <c r="H238" s="11" t="s">
        <v>80</v>
      </c>
      <c r="I238" s="11" t="s">
        <v>81</v>
      </c>
      <c r="J238" s="11" t="s">
        <v>82</v>
      </c>
      <c r="K238" s="11" t="s">
        <v>83</v>
      </c>
      <c r="L238" s="6" t="s">
        <v>537</v>
      </c>
    </row>
    <row r="239" spans="1:12">
      <c r="A239" s="6" t="s">
        <v>538</v>
      </c>
      <c r="B239" s="6" t="s">
        <v>78</v>
      </c>
      <c r="C239" s="11">
        <v>200</v>
      </c>
      <c r="D239" s="11" t="s">
        <v>45</v>
      </c>
      <c r="E239" s="11">
        <v>0</v>
      </c>
      <c r="F239" s="11">
        <v>450</v>
      </c>
      <c r="G239" s="11" t="s">
        <v>172</v>
      </c>
      <c r="H239" s="11" t="s">
        <v>80</v>
      </c>
      <c r="I239" s="11" t="s">
        <v>81</v>
      </c>
      <c r="J239" s="11" t="s">
        <v>82</v>
      </c>
      <c r="K239" s="11" t="s">
        <v>83</v>
      </c>
      <c r="L239" s="6" t="s">
        <v>539</v>
      </c>
    </row>
    <row r="240" spans="1:12">
      <c r="A240" s="6" t="s">
        <v>540</v>
      </c>
      <c r="B240" s="6" t="s">
        <v>78</v>
      </c>
      <c r="C240" s="11">
        <v>1000</v>
      </c>
      <c r="D240" s="11" t="s">
        <v>45</v>
      </c>
      <c r="E240" s="11">
        <v>0</v>
      </c>
      <c r="F240" s="11">
        <v>10000</v>
      </c>
      <c r="G240" s="11" t="s">
        <v>439</v>
      </c>
      <c r="H240" s="11" t="s">
        <v>80</v>
      </c>
      <c r="I240" s="11" t="s">
        <v>81</v>
      </c>
      <c r="J240" s="11" t="s">
        <v>82</v>
      </c>
      <c r="K240" s="11" t="s">
        <v>83</v>
      </c>
      <c r="L240" s="6" t="s">
        <v>541</v>
      </c>
    </row>
    <row r="241" spans="1:12">
      <c r="A241" s="6" t="s">
        <v>542</v>
      </c>
      <c r="B241" s="6" t="s">
        <v>78</v>
      </c>
      <c r="C241" s="11">
        <v>0.015</v>
      </c>
      <c r="D241" s="11" t="s">
        <v>45</v>
      </c>
      <c r="E241" s="11">
        <v>0</v>
      </c>
      <c r="F241" s="11">
        <v>1</v>
      </c>
      <c r="G241" s="11" t="s">
        <v>439</v>
      </c>
      <c r="H241" s="11" t="s">
        <v>80</v>
      </c>
      <c r="I241" s="11" t="s">
        <v>81</v>
      </c>
      <c r="J241" s="11" t="s">
        <v>82</v>
      </c>
      <c r="K241" s="11" t="s">
        <v>83</v>
      </c>
      <c r="L241" s="6" t="s">
        <v>543</v>
      </c>
    </row>
    <row r="242" spans="1:12">
      <c r="A242" s="6" t="s">
        <v>544</v>
      </c>
      <c r="B242" s="6" t="s">
        <v>78</v>
      </c>
      <c r="C242" s="11">
        <v>0.1</v>
      </c>
      <c r="D242" s="11" t="s">
        <v>45</v>
      </c>
      <c r="E242" s="11">
        <v>0</v>
      </c>
      <c r="F242" s="11">
        <v>10</v>
      </c>
      <c r="G242" s="11" t="s">
        <v>439</v>
      </c>
      <c r="H242" s="11" t="s">
        <v>80</v>
      </c>
      <c r="I242" s="11" t="s">
        <v>81</v>
      </c>
      <c r="J242" s="11" t="s">
        <v>82</v>
      </c>
      <c r="K242" s="11" t="s">
        <v>83</v>
      </c>
      <c r="L242" s="6" t="s">
        <v>545</v>
      </c>
    </row>
    <row r="243" spans="1:12">
      <c r="A243" s="6" t="s">
        <v>546</v>
      </c>
      <c r="B243" s="6" t="s">
        <v>78</v>
      </c>
      <c r="C243" s="11">
        <v>-0.1</v>
      </c>
      <c r="D243" s="11" t="s">
        <v>45</v>
      </c>
      <c r="E243" s="11">
        <v>-10</v>
      </c>
      <c r="F243" s="11">
        <v>10</v>
      </c>
      <c r="G243" s="11" t="s">
        <v>79</v>
      </c>
      <c r="H243" s="11" t="s">
        <v>80</v>
      </c>
      <c r="I243" s="11" t="s">
        <v>81</v>
      </c>
      <c r="J243" s="11" t="s">
        <v>82</v>
      </c>
      <c r="K243" s="11" t="s">
        <v>83</v>
      </c>
      <c r="L243" s="6" t="s">
        <v>547</v>
      </c>
    </row>
    <row r="244" spans="1:12">
      <c r="A244" s="6" t="s">
        <v>548</v>
      </c>
      <c r="B244" s="6" t="s">
        <v>78</v>
      </c>
      <c r="C244" s="11">
        <v>-0.0025</v>
      </c>
      <c r="D244" s="11" t="s">
        <v>45</v>
      </c>
      <c r="E244" s="11">
        <v>-1</v>
      </c>
      <c r="F244" s="11">
        <v>1</v>
      </c>
      <c r="G244" s="11" t="s">
        <v>79</v>
      </c>
      <c r="H244" s="11" t="s">
        <v>80</v>
      </c>
      <c r="I244" s="11" t="s">
        <v>81</v>
      </c>
      <c r="J244" s="11" t="s">
        <v>82</v>
      </c>
      <c r="K244" s="11" t="s">
        <v>83</v>
      </c>
      <c r="L244" s="6" t="s">
        <v>549</v>
      </c>
    </row>
    <row r="245" spans="1:12">
      <c r="A245" s="6" t="s">
        <v>550</v>
      </c>
      <c r="B245" s="6" t="s">
        <v>78</v>
      </c>
      <c r="C245" s="11">
        <v>-0.0025</v>
      </c>
      <c r="D245" s="11" t="s">
        <v>45</v>
      </c>
      <c r="E245" s="11">
        <v>-1</v>
      </c>
      <c r="F245" s="11">
        <v>1</v>
      </c>
      <c r="G245" s="11" t="s">
        <v>79</v>
      </c>
      <c r="H245" s="11" t="s">
        <v>80</v>
      </c>
      <c r="I245" s="11" t="s">
        <v>81</v>
      </c>
      <c r="J245" s="11" t="s">
        <v>82</v>
      </c>
      <c r="K245" s="11" t="s">
        <v>83</v>
      </c>
      <c r="L245" s="6" t="s">
        <v>551</v>
      </c>
    </row>
    <row r="246" spans="1:12">
      <c r="A246" s="6" t="s">
        <v>552</v>
      </c>
      <c r="B246" s="6" t="s">
        <v>78</v>
      </c>
      <c r="C246" s="11">
        <v>0</v>
      </c>
      <c r="D246" s="11" t="s">
        <v>46</v>
      </c>
      <c r="E246" s="11">
        <v>0</v>
      </c>
      <c r="F246" s="11">
        <v>1</v>
      </c>
      <c r="G246" s="11" t="s">
        <v>79</v>
      </c>
      <c r="H246" s="11" t="s">
        <v>80</v>
      </c>
      <c r="I246" s="11" t="s">
        <v>81</v>
      </c>
      <c r="J246" s="11" t="s">
        <v>82</v>
      </c>
      <c r="K246" s="11" t="s">
        <v>83</v>
      </c>
      <c r="L246" s="6" t="s">
        <v>553</v>
      </c>
    </row>
    <row r="247" spans="1:12">
      <c r="A247" s="6" t="s">
        <v>554</v>
      </c>
      <c r="B247" s="6" t="s">
        <v>78</v>
      </c>
      <c r="C247" s="11">
        <v>0</v>
      </c>
      <c r="D247" s="11" t="s">
        <v>45</v>
      </c>
      <c r="E247" s="11">
        <v>0</v>
      </c>
      <c r="F247" s="11">
        <v>10</v>
      </c>
      <c r="G247" s="11" t="s">
        <v>108</v>
      </c>
      <c r="H247" s="11" t="s">
        <v>80</v>
      </c>
      <c r="I247" s="11" t="s">
        <v>81</v>
      </c>
      <c r="J247" s="11" t="s">
        <v>82</v>
      </c>
      <c r="K247" s="11" t="s">
        <v>83</v>
      </c>
      <c r="L247" s="6" t="s">
        <v>555</v>
      </c>
    </row>
    <row r="248" spans="1:12">
      <c r="A248" s="6" t="s">
        <v>556</v>
      </c>
      <c r="B248" s="6" t="s">
        <v>78</v>
      </c>
      <c r="C248" s="11">
        <v>0.3</v>
      </c>
      <c r="D248" s="11" t="s">
        <v>45</v>
      </c>
      <c r="E248" s="11">
        <v>0</v>
      </c>
      <c r="F248" s="11">
        <v>1</v>
      </c>
      <c r="G248" s="11" t="s">
        <v>439</v>
      </c>
      <c r="H248" s="11" t="s">
        <v>80</v>
      </c>
      <c r="I248" s="11" t="s">
        <v>81</v>
      </c>
      <c r="J248" s="11" t="s">
        <v>82</v>
      </c>
      <c r="K248" s="11" t="s">
        <v>83</v>
      </c>
      <c r="L248" s="6" t="s">
        <v>557</v>
      </c>
    </row>
    <row r="249" customFormat="1" ht="14" spans="1:12">
      <c r="A249" s="6" t="s">
        <v>558</v>
      </c>
      <c r="B249" s="6" t="s">
        <v>78</v>
      </c>
      <c r="C249" s="11">
        <v>1500</v>
      </c>
      <c r="D249" s="11" t="s">
        <v>45</v>
      </c>
      <c r="E249" s="11">
        <v>0</v>
      </c>
      <c r="F249" s="11">
        <v>2000</v>
      </c>
      <c r="G249" s="11" t="s">
        <v>79</v>
      </c>
      <c r="H249" s="11" t="s">
        <v>80</v>
      </c>
      <c r="I249" s="11" t="s">
        <v>81</v>
      </c>
      <c r="J249" s="11" t="s">
        <v>82</v>
      </c>
      <c r="K249" s="11" t="s">
        <v>83</v>
      </c>
      <c r="L249" s="6" t="s">
        <v>559</v>
      </c>
    </row>
    <row r="250" customFormat="1" ht="14" spans="1:12">
      <c r="A250" s="6" t="s">
        <v>560</v>
      </c>
      <c r="B250" s="6" t="s">
        <v>78</v>
      </c>
      <c r="C250" s="11">
        <v>-1500</v>
      </c>
      <c r="D250" s="11" t="s">
        <v>45</v>
      </c>
      <c r="E250" s="11">
        <v>-2000</v>
      </c>
      <c r="F250" s="11">
        <v>0</v>
      </c>
      <c r="G250" s="11" t="s">
        <v>79</v>
      </c>
      <c r="H250" s="11" t="s">
        <v>80</v>
      </c>
      <c r="I250" s="11" t="s">
        <v>81</v>
      </c>
      <c r="J250" s="11" t="s">
        <v>82</v>
      </c>
      <c r="K250" s="11" t="s">
        <v>83</v>
      </c>
      <c r="L250" s="6" t="s">
        <v>559</v>
      </c>
    </row>
    <row r="251" customFormat="1" ht="14" spans="1:12">
      <c r="A251" s="6" t="s">
        <v>561</v>
      </c>
      <c r="B251" s="6" t="s">
        <v>78</v>
      </c>
      <c r="C251" s="11">
        <v>0.542</v>
      </c>
      <c r="D251" s="11" t="s">
        <v>45</v>
      </c>
      <c r="E251" s="11">
        <v>0</v>
      </c>
      <c r="F251" s="11">
        <v>100</v>
      </c>
      <c r="G251" s="11" t="s">
        <v>79</v>
      </c>
      <c r="H251" s="11" t="s">
        <v>80</v>
      </c>
      <c r="I251" s="11" t="s">
        <v>81</v>
      </c>
      <c r="J251" s="11" t="s">
        <v>82</v>
      </c>
      <c r="K251" s="11" t="s">
        <v>83</v>
      </c>
      <c r="L251" s="6" t="s">
        <v>559</v>
      </c>
    </row>
    <row r="252" customFormat="1" ht="14" spans="1:12">
      <c r="A252" s="6" t="s">
        <v>562</v>
      </c>
      <c r="B252" s="6" t="s">
        <v>78</v>
      </c>
      <c r="C252" s="11">
        <v>5</v>
      </c>
      <c r="D252" s="11" t="s">
        <v>45</v>
      </c>
      <c r="E252" s="11">
        <v>0</v>
      </c>
      <c r="F252" s="11">
        <v>8</v>
      </c>
      <c r="G252" s="11" t="s">
        <v>79</v>
      </c>
      <c r="H252" s="11" t="s">
        <v>80</v>
      </c>
      <c r="I252" s="11" t="s">
        <v>81</v>
      </c>
      <c r="J252" s="11" t="s">
        <v>82</v>
      </c>
      <c r="K252" s="11" t="s">
        <v>83</v>
      </c>
      <c r="L252" s="6" t="s">
        <v>559</v>
      </c>
    </row>
    <row r="253" customFormat="1" ht="14" spans="1:12">
      <c r="A253" s="6" t="s">
        <v>563</v>
      </c>
      <c r="B253" s="6" t="s">
        <v>78</v>
      </c>
      <c r="C253" s="11">
        <v>1.5</v>
      </c>
      <c r="D253" s="11" t="s">
        <v>45</v>
      </c>
      <c r="E253" s="11">
        <v>-5</v>
      </c>
      <c r="F253" s="11">
        <v>5</v>
      </c>
      <c r="G253" s="11" t="s">
        <v>79</v>
      </c>
      <c r="H253" s="11" t="s">
        <v>80</v>
      </c>
      <c r="I253" s="11" t="s">
        <v>81</v>
      </c>
      <c r="J253" s="11" t="s">
        <v>82</v>
      </c>
      <c r="K253" s="11" t="s">
        <v>83</v>
      </c>
      <c r="L253" s="6" t="s">
        <v>559</v>
      </c>
    </row>
    <row r="254" customFormat="1" ht="14" spans="1:12">
      <c r="A254" s="6" t="s">
        <v>564</v>
      </c>
      <c r="B254" s="6" t="s">
        <v>78</v>
      </c>
      <c r="C254" s="11">
        <v>0.95</v>
      </c>
      <c r="D254" s="11" t="s">
        <v>45</v>
      </c>
      <c r="E254" s="11">
        <v>0</v>
      </c>
      <c r="F254" s="11">
        <v>1</v>
      </c>
      <c r="G254" s="11" t="s">
        <v>79</v>
      </c>
      <c r="H254" s="11" t="s">
        <v>80</v>
      </c>
      <c r="I254" s="11" t="s">
        <v>81</v>
      </c>
      <c r="J254" s="11" t="s">
        <v>82</v>
      </c>
      <c r="K254" s="11" t="s">
        <v>83</v>
      </c>
      <c r="L254" s="6" t="s">
        <v>559</v>
      </c>
    </row>
    <row r="255" customFormat="1" ht="14" spans="1:12">
      <c r="A255" s="6" t="s">
        <v>565</v>
      </c>
      <c r="B255" s="6" t="s">
        <v>78</v>
      </c>
      <c r="C255" s="11">
        <v>-0.35</v>
      </c>
      <c r="D255" s="11" t="s">
        <v>45</v>
      </c>
      <c r="E255" s="11">
        <v>-5</v>
      </c>
      <c r="F255" s="11">
        <v>5</v>
      </c>
      <c r="G255" s="11" t="s">
        <v>79</v>
      </c>
      <c r="H255" s="11" t="s">
        <v>80</v>
      </c>
      <c r="I255" s="11" t="s">
        <v>81</v>
      </c>
      <c r="J255" s="11" t="s">
        <v>82</v>
      </c>
      <c r="K255" s="11" t="s">
        <v>83</v>
      </c>
      <c r="L255" s="6" t="s">
        <v>559</v>
      </c>
    </row>
    <row r="256" customFormat="1" ht="14" spans="1:12">
      <c r="A256" s="6" t="s">
        <v>566</v>
      </c>
      <c r="B256" s="6" t="s">
        <v>78</v>
      </c>
      <c r="C256" s="11">
        <v>-0.95</v>
      </c>
      <c r="D256" s="11" t="s">
        <v>45</v>
      </c>
      <c r="E256" s="11">
        <v>-1</v>
      </c>
      <c r="F256" s="11">
        <v>0</v>
      </c>
      <c r="G256" s="11" t="s">
        <v>79</v>
      </c>
      <c r="H256" s="11" t="s">
        <v>80</v>
      </c>
      <c r="I256" s="11" t="s">
        <v>81</v>
      </c>
      <c r="J256" s="11" t="s">
        <v>82</v>
      </c>
      <c r="K256" s="11" t="s">
        <v>83</v>
      </c>
      <c r="L256" s="6" t="s">
        <v>559</v>
      </c>
    </row>
    <row r="257" customFormat="1" ht="14" spans="1:12">
      <c r="A257" s="6" t="s">
        <v>567</v>
      </c>
      <c r="B257" s="6" t="s">
        <v>78</v>
      </c>
      <c r="C257" s="11">
        <v>400</v>
      </c>
      <c r="D257" s="11" t="s">
        <v>45</v>
      </c>
      <c r="E257" s="11">
        <v>0</v>
      </c>
      <c r="F257" s="11">
        <v>1000</v>
      </c>
      <c r="G257" s="11" t="s">
        <v>79</v>
      </c>
      <c r="H257" s="11" t="s">
        <v>80</v>
      </c>
      <c r="I257" s="11" t="s">
        <v>81</v>
      </c>
      <c r="J257" s="11" t="s">
        <v>82</v>
      </c>
      <c r="K257" s="11" t="s">
        <v>83</v>
      </c>
      <c r="L257" s="6" t="s">
        <v>559</v>
      </c>
    </row>
    <row r="258" customFormat="1" ht="14" spans="1:12">
      <c r="A258" s="6" t="s">
        <v>568</v>
      </c>
      <c r="B258" s="6" t="s">
        <v>78</v>
      </c>
      <c r="C258" s="11">
        <v>36.5</v>
      </c>
      <c r="D258" s="11" t="s">
        <v>45</v>
      </c>
      <c r="E258" s="11">
        <v>0</v>
      </c>
      <c r="F258" s="11">
        <v>1000</v>
      </c>
      <c r="G258" s="11" t="s">
        <v>79</v>
      </c>
      <c r="H258" s="11" t="s">
        <v>80</v>
      </c>
      <c r="I258" s="11" t="s">
        <v>81</v>
      </c>
      <c r="J258" s="11" t="s">
        <v>82</v>
      </c>
      <c r="K258" s="11" t="s">
        <v>83</v>
      </c>
      <c r="L258" s="6" t="s">
        <v>559</v>
      </c>
    </row>
    <row r="259" customFormat="1" ht="14" spans="1:12">
      <c r="A259" s="6" t="s">
        <v>569</v>
      </c>
      <c r="B259" s="6" t="s">
        <v>78</v>
      </c>
      <c r="C259" s="11">
        <v>80</v>
      </c>
      <c r="D259" s="11" t="s">
        <v>45</v>
      </c>
      <c r="E259" s="11">
        <v>0</v>
      </c>
      <c r="F259" s="11">
        <v>500</v>
      </c>
      <c r="G259" s="11" t="s">
        <v>79</v>
      </c>
      <c r="H259" s="11" t="s">
        <v>80</v>
      </c>
      <c r="I259" s="11" t="s">
        <v>81</v>
      </c>
      <c r="J259" s="11" t="s">
        <v>82</v>
      </c>
      <c r="K259" s="11" t="s">
        <v>83</v>
      </c>
      <c r="L259" s="6" t="s">
        <v>559</v>
      </c>
    </row>
    <row r="260" customFormat="1" ht="14" spans="1:12">
      <c r="A260" s="6" t="s">
        <v>570</v>
      </c>
      <c r="B260" s="6" t="s">
        <v>78</v>
      </c>
      <c r="C260" s="11">
        <v>0.5</v>
      </c>
      <c r="D260" s="11" t="s">
        <v>45</v>
      </c>
      <c r="E260" s="11">
        <v>0</v>
      </c>
      <c r="F260" s="11">
        <v>30</v>
      </c>
      <c r="G260" s="11" t="s">
        <v>79</v>
      </c>
      <c r="H260" s="11" t="s">
        <v>80</v>
      </c>
      <c r="I260" s="11" t="s">
        <v>81</v>
      </c>
      <c r="J260" s="11" t="s">
        <v>82</v>
      </c>
      <c r="K260" s="11" t="s">
        <v>83</v>
      </c>
      <c r="L260" s="6" t="s">
        <v>559</v>
      </c>
    </row>
    <row r="261" customFormat="1" ht="14" spans="1:12">
      <c r="A261" s="6" t="s">
        <v>571</v>
      </c>
      <c r="B261" s="6" t="s">
        <v>78</v>
      </c>
      <c r="C261" s="11">
        <v>0.03</v>
      </c>
      <c r="D261" s="11" t="s">
        <v>45</v>
      </c>
      <c r="E261" s="11">
        <v>0</v>
      </c>
      <c r="F261" s="11">
        <v>1</v>
      </c>
      <c r="G261" s="11" t="s">
        <v>79</v>
      </c>
      <c r="H261" s="11" t="s">
        <v>80</v>
      </c>
      <c r="I261" s="11" t="s">
        <v>81</v>
      </c>
      <c r="J261" s="11" t="s">
        <v>82</v>
      </c>
      <c r="K261" s="11" t="s">
        <v>83</v>
      </c>
      <c r="L261" s="6" t="s">
        <v>559</v>
      </c>
    </row>
    <row r="262" customFormat="1" ht="14" spans="1:12">
      <c r="A262" s="6" t="s">
        <v>572</v>
      </c>
      <c r="B262" s="6" t="s">
        <v>78</v>
      </c>
      <c r="C262" s="11">
        <v>1.065</v>
      </c>
      <c r="D262" s="11" t="s">
        <v>45</v>
      </c>
      <c r="E262" s="11">
        <v>0</v>
      </c>
      <c r="F262" s="11">
        <v>1.1</v>
      </c>
      <c r="G262" s="11" t="s">
        <v>79</v>
      </c>
      <c r="H262" s="11" t="s">
        <v>80</v>
      </c>
      <c r="I262" s="11" t="s">
        <v>81</v>
      </c>
      <c r="J262" s="11" t="s">
        <v>82</v>
      </c>
      <c r="K262" s="11" t="s">
        <v>83</v>
      </c>
      <c r="L262" s="6" t="s">
        <v>559</v>
      </c>
    </row>
    <row r="263" customFormat="1" ht="14" spans="1:12">
      <c r="A263" s="6" t="s">
        <v>573</v>
      </c>
      <c r="B263" s="6" t="s">
        <v>78</v>
      </c>
      <c r="C263" s="11" t="s">
        <v>574</v>
      </c>
      <c r="D263" s="11" t="s">
        <v>45</v>
      </c>
      <c r="E263" s="11">
        <v>0</v>
      </c>
      <c r="F263" s="11">
        <v>1</v>
      </c>
      <c r="G263" s="11" t="s">
        <v>79</v>
      </c>
      <c r="H263" s="11" t="s">
        <v>80</v>
      </c>
      <c r="I263" s="11" t="s">
        <v>81</v>
      </c>
      <c r="J263" s="11" t="s">
        <v>82</v>
      </c>
      <c r="K263" s="11" t="s">
        <v>83</v>
      </c>
      <c r="L263" s="6" t="s">
        <v>559</v>
      </c>
    </row>
    <row r="264" customFormat="1" ht="14" spans="1:12">
      <c r="A264" s="6" t="s">
        <v>575</v>
      </c>
      <c r="B264" s="6" t="s">
        <v>78</v>
      </c>
      <c r="C264" s="11">
        <v>-5</v>
      </c>
      <c r="D264" s="11" t="s">
        <v>45</v>
      </c>
      <c r="E264" s="11">
        <v>-30</v>
      </c>
      <c r="F264" s="11">
        <v>0</v>
      </c>
      <c r="G264" s="11" t="s">
        <v>79</v>
      </c>
      <c r="H264" s="11" t="s">
        <v>80</v>
      </c>
      <c r="I264" s="11" t="s">
        <v>81</v>
      </c>
      <c r="J264" s="11" t="s">
        <v>82</v>
      </c>
      <c r="K264" s="11" t="s">
        <v>83</v>
      </c>
      <c r="L264" s="6" t="s">
        <v>559</v>
      </c>
    </row>
    <row r="265" customFormat="1" ht="14" spans="1:12">
      <c r="A265" s="6" t="s">
        <v>576</v>
      </c>
      <c r="B265" s="6" t="s">
        <v>78</v>
      </c>
      <c r="C265" s="11" t="s">
        <v>577</v>
      </c>
      <c r="D265" s="11" t="s">
        <v>45</v>
      </c>
      <c r="E265" s="11">
        <v>0</v>
      </c>
      <c r="F265" s="11">
        <v>1</v>
      </c>
      <c r="G265" s="11" t="s">
        <v>79</v>
      </c>
      <c r="H265" s="11" t="s">
        <v>80</v>
      </c>
      <c r="I265" s="11" t="s">
        <v>81</v>
      </c>
      <c r="J265" s="11" t="s">
        <v>82</v>
      </c>
      <c r="K265" s="11" t="s">
        <v>83</v>
      </c>
      <c r="L265" s="6" t="s">
        <v>559</v>
      </c>
    </row>
    <row r="266" customFormat="1" ht="14" spans="1:12">
      <c r="A266" s="6" t="s">
        <v>578</v>
      </c>
      <c r="B266" s="6" t="s">
        <v>78</v>
      </c>
      <c r="C266" s="11">
        <v>1250</v>
      </c>
      <c r="D266" s="11" t="s">
        <v>45</v>
      </c>
      <c r="E266" s="11">
        <v>0</v>
      </c>
      <c r="F266" s="11">
        <v>10000</v>
      </c>
      <c r="G266" s="11" t="s">
        <v>79</v>
      </c>
      <c r="H266" s="11" t="s">
        <v>80</v>
      </c>
      <c r="I266" s="11" t="s">
        <v>81</v>
      </c>
      <c r="J266" s="11" t="s">
        <v>82</v>
      </c>
      <c r="K266" s="11" t="s">
        <v>83</v>
      </c>
      <c r="L266" s="6" t="s">
        <v>559</v>
      </c>
    </row>
    <row r="267" customFormat="1" ht="14" spans="1:12">
      <c r="A267" s="6" t="s">
        <v>579</v>
      </c>
      <c r="B267" s="6" t="s">
        <v>78</v>
      </c>
      <c r="C267" s="11">
        <v>4</v>
      </c>
      <c r="D267" s="11" t="s">
        <v>45</v>
      </c>
      <c r="E267" s="11">
        <v>0</v>
      </c>
      <c r="F267" s="11">
        <v>1000</v>
      </c>
      <c r="G267" s="11" t="s">
        <v>79</v>
      </c>
      <c r="H267" s="11" t="s">
        <v>80</v>
      </c>
      <c r="I267" s="11" t="s">
        <v>81</v>
      </c>
      <c r="J267" s="11" t="s">
        <v>82</v>
      </c>
      <c r="K267" s="11" t="s">
        <v>83</v>
      </c>
      <c r="L267" s="6" t="s">
        <v>559</v>
      </c>
    </row>
    <row r="268" customFormat="1" ht="14" spans="1:12">
      <c r="A268" s="6" t="s">
        <v>580</v>
      </c>
      <c r="B268" s="6" t="s">
        <v>78</v>
      </c>
      <c r="C268" s="11">
        <v>2000</v>
      </c>
      <c r="D268" s="11" t="s">
        <v>45</v>
      </c>
      <c r="E268" s="11">
        <v>0</v>
      </c>
      <c r="F268" s="11">
        <v>4000</v>
      </c>
      <c r="G268" s="11" t="s">
        <v>79</v>
      </c>
      <c r="H268" s="11" t="s">
        <v>80</v>
      </c>
      <c r="I268" s="11" t="s">
        <v>81</v>
      </c>
      <c r="J268" s="11" t="s">
        <v>82</v>
      </c>
      <c r="K268" s="11" t="s">
        <v>83</v>
      </c>
      <c r="L268" s="6" t="s">
        <v>559</v>
      </c>
    </row>
    <row r="269" customFormat="1" ht="14" spans="1:12">
      <c r="A269" s="6" t="s">
        <v>581</v>
      </c>
      <c r="B269" s="6" t="s">
        <v>78</v>
      </c>
      <c r="C269" s="11">
        <v>500</v>
      </c>
      <c r="D269" s="11" t="s">
        <v>45</v>
      </c>
      <c r="E269" s="11">
        <v>0</v>
      </c>
      <c r="F269" s="11">
        <v>10000</v>
      </c>
      <c r="G269" s="11" t="s">
        <v>79</v>
      </c>
      <c r="H269" s="11" t="s">
        <v>80</v>
      </c>
      <c r="I269" s="11" t="s">
        <v>81</v>
      </c>
      <c r="J269" s="11" t="s">
        <v>82</v>
      </c>
      <c r="K269" s="11" t="s">
        <v>83</v>
      </c>
      <c r="L269" s="6" t="s">
        <v>559</v>
      </c>
    </row>
    <row r="270" customFormat="1" ht="14" spans="1:12">
      <c r="A270" s="6" t="s">
        <v>582</v>
      </c>
      <c r="B270" s="6" t="s">
        <v>78</v>
      </c>
      <c r="C270" s="11">
        <v>10000</v>
      </c>
      <c r="D270" s="11" t="s">
        <v>45</v>
      </c>
      <c r="E270" s="11">
        <v>0</v>
      </c>
      <c r="F270" s="11">
        <v>20000</v>
      </c>
      <c r="G270" s="11" t="s">
        <v>79</v>
      </c>
      <c r="H270" s="11" t="s">
        <v>80</v>
      </c>
      <c r="I270" s="11" t="s">
        <v>81</v>
      </c>
      <c r="J270" s="11" t="s">
        <v>82</v>
      </c>
      <c r="K270" s="11" t="s">
        <v>83</v>
      </c>
      <c r="L270" s="6" t="s">
        <v>559</v>
      </c>
    </row>
    <row r="271" customFormat="1" ht="14" spans="1:12">
      <c r="A271" s="6" t="s">
        <v>583</v>
      </c>
      <c r="B271" s="6" t="s">
        <v>78</v>
      </c>
      <c r="C271" s="23">
        <v>-3.7e-6</v>
      </c>
      <c r="D271" s="11" t="s">
        <v>45</v>
      </c>
      <c r="E271" s="11">
        <v>-1</v>
      </c>
      <c r="F271" s="11">
        <v>1</v>
      </c>
      <c r="G271" s="11" t="s">
        <v>79</v>
      </c>
      <c r="H271" s="11" t="s">
        <v>80</v>
      </c>
      <c r="I271" s="11" t="s">
        <v>81</v>
      </c>
      <c r="J271" s="11" t="s">
        <v>82</v>
      </c>
      <c r="K271" s="11" t="s">
        <v>83</v>
      </c>
      <c r="L271" s="6" t="s">
        <v>559</v>
      </c>
    </row>
    <row r="272" customFormat="1" ht="14" spans="1:12">
      <c r="A272" s="6" t="s">
        <v>584</v>
      </c>
      <c r="B272" s="6" t="s">
        <v>78</v>
      </c>
      <c r="C272" s="23">
        <v>3.7e-6</v>
      </c>
      <c r="D272" s="11" t="s">
        <v>45</v>
      </c>
      <c r="E272" s="11">
        <v>-1</v>
      </c>
      <c r="F272" s="11">
        <v>1</v>
      </c>
      <c r="G272" s="11" t="s">
        <v>79</v>
      </c>
      <c r="H272" s="11" t="s">
        <v>80</v>
      </c>
      <c r="I272" s="11" t="s">
        <v>81</v>
      </c>
      <c r="J272" s="11" t="s">
        <v>82</v>
      </c>
      <c r="K272" s="11" t="s">
        <v>83</v>
      </c>
      <c r="L272" s="6" t="s">
        <v>559</v>
      </c>
    </row>
    <row r="273" customFormat="1" ht="14" spans="1:12">
      <c r="A273" s="6" t="s">
        <v>585</v>
      </c>
      <c r="B273" s="6" t="s">
        <v>78</v>
      </c>
      <c r="C273" s="23">
        <v>4e-6</v>
      </c>
      <c r="D273" s="11" t="s">
        <v>45</v>
      </c>
      <c r="E273" s="11">
        <v>-1</v>
      </c>
      <c r="F273" s="11">
        <v>1</v>
      </c>
      <c r="G273" s="11" t="s">
        <v>79</v>
      </c>
      <c r="H273" s="11" t="s">
        <v>80</v>
      </c>
      <c r="I273" s="11" t="s">
        <v>81</v>
      </c>
      <c r="J273" s="11" t="s">
        <v>82</v>
      </c>
      <c r="K273" s="11" t="s">
        <v>83</v>
      </c>
      <c r="L273" s="6" t="s">
        <v>559</v>
      </c>
    </row>
    <row r="274" customFormat="1" ht="14" spans="1:12">
      <c r="A274" s="6" t="s">
        <v>586</v>
      </c>
      <c r="B274" s="6" t="s">
        <v>78</v>
      </c>
      <c r="C274" s="13">
        <v>0</v>
      </c>
      <c r="D274" s="11" t="s">
        <v>46</v>
      </c>
      <c r="E274" s="11">
        <v>0</v>
      </c>
      <c r="F274" s="11">
        <v>1</v>
      </c>
      <c r="G274" s="11" t="s">
        <v>79</v>
      </c>
      <c r="H274" s="11" t="s">
        <v>80</v>
      </c>
      <c r="I274" s="11" t="s">
        <v>81</v>
      </c>
      <c r="J274" s="11" t="s">
        <v>82</v>
      </c>
      <c r="K274" s="11" t="s">
        <v>83</v>
      </c>
      <c r="L274" s="6" t="s">
        <v>559</v>
      </c>
    </row>
    <row r="275" spans="1:12">
      <c r="A275" s="6" t="s">
        <v>587</v>
      </c>
      <c r="B275" s="6" t="s">
        <v>78</v>
      </c>
      <c r="C275" s="13">
        <v>0.7</v>
      </c>
      <c r="D275" s="11" t="s">
        <v>45</v>
      </c>
      <c r="E275" s="11">
        <v>0</v>
      </c>
      <c r="F275" s="11">
        <v>1</v>
      </c>
      <c r="G275" s="11" t="s">
        <v>79</v>
      </c>
      <c r="H275" s="11" t="s">
        <v>80</v>
      </c>
      <c r="I275" s="11" t="s">
        <v>81</v>
      </c>
      <c r="J275" s="11" t="s">
        <v>82</v>
      </c>
      <c r="K275" s="11" t="s">
        <v>83</v>
      </c>
      <c r="L275" s="6" t="s">
        <v>559</v>
      </c>
    </row>
    <row r="276" spans="1:12">
      <c r="A276" s="6" t="s">
        <v>588</v>
      </c>
      <c r="B276" s="6" t="s">
        <v>78</v>
      </c>
      <c r="C276" s="13">
        <v>0</v>
      </c>
      <c r="D276" s="11" t="s">
        <v>46</v>
      </c>
      <c r="E276" s="11">
        <v>0</v>
      </c>
      <c r="F276" s="11">
        <v>1</v>
      </c>
      <c r="G276" s="11" t="s">
        <v>79</v>
      </c>
      <c r="H276" s="11" t="s">
        <v>80</v>
      </c>
      <c r="I276" s="11" t="s">
        <v>81</v>
      </c>
      <c r="J276" s="11" t="s">
        <v>82</v>
      </c>
      <c r="K276" s="11" t="s">
        <v>83</v>
      </c>
      <c r="L276" s="6" t="s">
        <v>559</v>
      </c>
    </row>
    <row r="277" spans="1:12">
      <c r="A277" s="6" t="s">
        <v>589</v>
      </c>
      <c r="B277" s="6" t="s">
        <v>78</v>
      </c>
      <c r="C277" s="11">
        <v>0.002</v>
      </c>
      <c r="D277" s="11" t="s">
        <v>45</v>
      </c>
      <c r="E277" s="11">
        <v>0</v>
      </c>
      <c r="F277" s="11">
        <v>1</v>
      </c>
      <c r="G277" s="11" t="s">
        <v>79</v>
      </c>
      <c r="H277" s="11" t="s">
        <v>80</v>
      </c>
      <c r="I277" s="11" t="s">
        <v>81</v>
      </c>
      <c r="J277" s="11" t="s">
        <v>82</v>
      </c>
      <c r="K277" s="11" t="s">
        <v>83</v>
      </c>
      <c r="L277" s="6" t="s">
        <v>559</v>
      </c>
    </row>
    <row r="278" spans="1:12">
      <c r="A278" s="6" t="s">
        <v>590</v>
      </c>
      <c r="B278" s="6" t="s">
        <v>78</v>
      </c>
      <c r="C278" s="11">
        <v>0.7</v>
      </c>
      <c r="D278" s="11" t="s">
        <v>45</v>
      </c>
      <c r="E278" s="11">
        <v>0</v>
      </c>
      <c r="F278" s="11">
        <v>1</v>
      </c>
      <c r="G278" s="11" t="s">
        <v>79</v>
      </c>
      <c r="H278" s="11" t="s">
        <v>80</v>
      </c>
      <c r="I278" s="11" t="s">
        <v>81</v>
      </c>
      <c r="J278" s="11" t="s">
        <v>82</v>
      </c>
      <c r="K278" s="11" t="s">
        <v>83</v>
      </c>
      <c r="L278" s="6" t="s">
        <v>559</v>
      </c>
    </row>
    <row r="279" spans="1:12">
      <c r="A279" s="6" t="s">
        <v>591</v>
      </c>
      <c r="B279" s="6" t="s">
        <v>78</v>
      </c>
      <c r="C279" s="13">
        <v>0</v>
      </c>
      <c r="D279" s="11" t="s">
        <v>46</v>
      </c>
      <c r="E279" s="11">
        <v>0</v>
      </c>
      <c r="F279" s="11">
        <v>1</v>
      </c>
      <c r="G279" s="11" t="s">
        <v>79</v>
      </c>
      <c r="H279" s="11" t="s">
        <v>80</v>
      </c>
      <c r="I279" s="11" t="s">
        <v>81</v>
      </c>
      <c r="J279" s="11" t="s">
        <v>82</v>
      </c>
      <c r="K279" s="11" t="s">
        <v>83</v>
      </c>
      <c r="L279" s="6" t="s">
        <v>559</v>
      </c>
    </row>
    <row r="280" spans="1:12">
      <c r="A280" s="6" t="s">
        <v>592</v>
      </c>
      <c r="B280" s="6" t="s">
        <v>78</v>
      </c>
      <c r="C280" s="13">
        <v>8</v>
      </c>
      <c r="D280" s="11" t="s">
        <v>45</v>
      </c>
      <c r="E280" s="11">
        <v>0</v>
      </c>
      <c r="F280" s="11">
        <v>50</v>
      </c>
      <c r="G280" s="11" t="s">
        <v>79</v>
      </c>
      <c r="H280" s="11" t="s">
        <v>80</v>
      </c>
      <c r="I280" s="11" t="s">
        <v>81</v>
      </c>
      <c r="J280" s="11" t="s">
        <v>82</v>
      </c>
      <c r="K280" s="11" t="s">
        <v>83</v>
      </c>
      <c r="L280" s="6" t="s">
        <v>559</v>
      </c>
    </row>
    <row r="281" customFormat="1" ht="14" spans="1:12">
      <c r="A281" s="6" t="s">
        <v>593</v>
      </c>
      <c r="B281" s="6" t="s">
        <v>78</v>
      </c>
      <c r="C281" s="13">
        <v>1</v>
      </c>
      <c r="D281" s="11" t="s">
        <v>41</v>
      </c>
      <c r="E281" s="11">
        <v>0</v>
      </c>
      <c r="F281" s="11">
        <v>1</v>
      </c>
      <c r="G281" s="11" t="s">
        <v>79</v>
      </c>
      <c r="H281" s="11" t="s">
        <v>80</v>
      </c>
      <c r="I281" s="11" t="s">
        <v>81</v>
      </c>
      <c r="J281" s="11" t="s">
        <v>82</v>
      </c>
      <c r="K281" s="11" t="s">
        <v>83</v>
      </c>
      <c r="L281" s="6" t="s">
        <v>559</v>
      </c>
    </row>
    <row r="282" customFormat="1" ht="14" spans="1:12">
      <c r="A282" s="6" t="s">
        <v>594</v>
      </c>
      <c r="B282" s="6" t="s">
        <v>78</v>
      </c>
      <c r="C282" s="13">
        <v>1</v>
      </c>
      <c r="D282" s="11" t="s">
        <v>46</v>
      </c>
      <c r="E282" s="11">
        <v>0</v>
      </c>
      <c r="F282" s="11">
        <v>1</v>
      </c>
      <c r="G282" s="11" t="s">
        <v>79</v>
      </c>
      <c r="H282" s="11" t="s">
        <v>80</v>
      </c>
      <c r="I282" s="11" t="s">
        <v>81</v>
      </c>
      <c r="J282" s="11" t="s">
        <v>82</v>
      </c>
      <c r="K282" s="11" t="s">
        <v>83</v>
      </c>
      <c r="L282" s="6" t="s">
        <v>559</v>
      </c>
    </row>
    <row r="283" customFormat="1" ht="14" spans="1:12">
      <c r="A283" s="6" t="s">
        <v>595</v>
      </c>
      <c r="B283" s="6" t="s">
        <v>78</v>
      </c>
      <c r="C283" s="13">
        <v>0.06</v>
      </c>
      <c r="D283" s="11" t="s">
        <v>45</v>
      </c>
      <c r="E283" s="11">
        <v>0</v>
      </c>
      <c r="F283" s="11">
        <v>0.5</v>
      </c>
      <c r="G283" s="11" t="s">
        <v>79</v>
      </c>
      <c r="H283" s="11" t="s">
        <v>80</v>
      </c>
      <c r="I283" s="11" t="s">
        <v>81</v>
      </c>
      <c r="J283" s="11" t="s">
        <v>82</v>
      </c>
      <c r="K283" s="11" t="s">
        <v>83</v>
      </c>
      <c r="L283" s="6" t="s">
        <v>559</v>
      </c>
    </row>
    <row r="284" customFormat="1" ht="14" spans="1:12">
      <c r="A284" s="6" t="s">
        <v>596</v>
      </c>
      <c r="B284" s="6" t="s">
        <v>78</v>
      </c>
      <c r="C284" s="13">
        <v>0</v>
      </c>
      <c r="D284" s="11" t="s">
        <v>46</v>
      </c>
      <c r="E284" s="11">
        <v>0</v>
      </c>
      <c r="F284" s="11">
        <v>1</v>
      </c>
      <c r="G284" s="11" t="s">
        <v>79</v>
      </c>
      <c r="H284" s="11" t="s">
        <v>80</v>
      </c>
      <c r="I284" s="11" t="s">
        <v>81</v>
      </c>
      <c r="J284" s="11" t="s">
        <v>82</v>
      </c>
      <c r="K284" s="11" t="s">
        <v>83</v>
      </c>
      <c r="L284" s="6" t="s">
        <v>559</v>
      </c>
    </row>
    <row r="285" customFormat="1" ht="14" spans="1:12">
      <c r="A285" s="6" t="s">
        <v>597</v>
      </c>
      <c r="B285" s="6" t="s">
        <v>78</v>
      </c>
      <c r="C285" s="11">
        <v>4</v>
      </c>
      <c r="D285" s="11" t="s">
        <v>45</v>
      </c>
      <c r="E285" s="11">
        <v>0</v>
      </c>
      <c r="F285" s="11">
        <v>1000</v>
      </c>
      <c r="G285" s="11" t="s">
        <v>79</v>
      </c>
      <c r="H285" s="11" t="s">
        <v>80</v>
      </c>
      <c r="I285" s="11" t="s">
        <v>81</v>
      </c>
      <c r="J285" s="11" t="s">
        <v>82</v>
      </c>
      <c r="K285" s="11" t="s">
        <v>83</v>
      </c>
      <c r="L285" s="6" t="s">
        <v>559</v>
      </c>
    </row>
    <row r="286" customFormat="1" ht="14" spans="1:12">
      <c r="A286" s="6" t="s">
        <v>598</v>
      </c>
      <c r="B286" s="6" t="s">
        <v>78</v>
      </c>
      <c r="C286" s="11">
        <v>2000</v>
      </c>
      <c r="D286" s="11" t="s">
        <v>45</v>
      </c>
      <c r="E286" s="11">
        <v>0</v>
      </c>
      <c r="F286" s="11">
        <v>4000</v>
      </c>
      <c r="G286" s="11" t="s">
        <v>79</v>
      </c>
      <c r="H286" s="11" t="s">
        <v>80</v>
      </c>
      <c r="I286" s="11" t="s">
        <v>81</v>
      </c>
      <c r="J286" s="11" t="s">
        <v>82</v>
      </c>
      <c r="K286" s="11" t="s">
        <v>83</v>
      </c>
      <c r="L286" s="6" t="s">
        <v>559</v>
      </c>
    </row>
    <row r="287" customFormat="1" ht="14" spans="1:12">
      <c r="A287" s="6" t="s">
        <v>599</v>
      </c>
      <c r="B287" s="6" t="s">
        <v>78</v>
      </c>
      <c r="C287" s="11">
        <v>0.5</v>
      </c>
      <c r="D287" s="11" t="s">
        <v>45</v>
      </c>
      <c r="E287" s="11">
        <v>0</v>
      </c>
      <c r="F287" s="11">
        <v>6000</v>
      </c>
      <c r="G287" s="11" t="s">
        <v>79</v>
      </c>
      <c r="H287" s="11" t="s">
        <v>80</v>
      </c>
      <c r="I287" s="11" t="s">
        <v>81</v>
      </c>
      <c r="J287" s="11" t="s">
        <v>82</v>
      </c>
      <c r="K287" s="11" t="s">
        <v>83</v>
      </c>
      <c r="L287" s="6" t="s">
        <v>559</v>
      </c>
    </row>
    <row r="288" customFormat="1" ht="14" spans="1:12">
      <c r="A288" s="6" t="s">
        <v>600</v>
      </c>
      <c r="B288" s="6" t="s">
        <v>78</v>
      </c>
      <c r="C288" s="11">
        <v>0.8</v>
      </c>
      <c r="D288" s="11" t="s">
        <v>45</v>
      </c>
      <c r="E288" s="11">
        <v>0</v>
      </c>
      <c r="F288" s="11">
        <v>6000</v>
      </c>
      <c r="G288" s="11" t="s">
        <v>79</v>
      </c>
      <c r="H288" s="11" t="s">
        <v>80</v>
      </c>
      <c r="I288" s="11" t="s">
        <v>81</v>
      </c>
      <c r="J288" s="11" t="s">
        <v>82</v>
      </c>
      <c r="K288" s="11" t="s">
        <v>83</v>
      </c>
      <c r="L288" s="6" t="s">
        <v>559</v>
      </c>
    </row>
    <row r="289" spans="1:12">
      <c r="A289" s="6" t="s">
        <v>601</v>
      </c>
      <c r="B289" s="6" t="s">
        <v>78</v>
      </c>
      <c r="C289" s="11">
        <v>4</v>
      </c>
      <c r="D289" s="11" t="s">
        <v>45</v>
      </c>
      <c r="E289" s="11">
        <v>0</v>
      </c>
      <c r="F289" s="11">
        <v>1000</v>
      </c>
      <c r="G289" s="11" t="s">
        <v>79</v>
      </c>
      <c r="H289" s="11" t="s">
        <v>80</v>
      </c>
      <c r="I289" s="11" t="s">
        <v>81</v>
      </c>
      <c r="J289" s="11" t="s">
        <v>82</v>
      </c>
      <c r="K289" s="11" t="s">
        <v>83</v>
      </c>
      <c r="L289" s="6" t="s">
        <v>559</v>
      </c>
    </row>
    <row r="290" spans="1:12">
      <c r="A290" s="6" t="s">
        <v>602</v>
      </c>
      <c r="B290" s="6" t="s">
        <v>78</v>
      </c>
      <c r="C290" s="11">
        <v>2000</v>
      </c>
      <c r="D290" s="11" t="s">
        <v>45</v>
      </c>
      <c r="E290" s="11">
        <v>0</v>
      </c>
      <c r="F290" s="11">
        <v>4000</v>
      </c>
      <c r="G290" s="11" t="s">
        <v>79</v>
      </c>
      <c r="H290" s="11" t="s">
        <v>80</v>
      </c>
      <c r="I290" s="11" t="s">
        <v>81</v>
      </c>
      <c r="J290" s="11" t="s">
        <v>82</v>
      </c>
      <c r="K290" s="11" t="s">
        <v>83</v>
      </c>
      <c r="L290" s="6" t="s">
        <v>559</v>
      </c>
    </row>
    <row r="291" spans="1:12">
      <c r="A291" s="6" t="s">
        <v>603</v>
      </c>
      <c r="B291" s="6" t="s">
        <v>78</v>
      </c>
      <c r="C291" s="11">
        <v>0.0005</v>
      </c>
      <c r="D291" s="11" t="s">
        <v>45</v>
      </c>
      <c r="E291" s="11">
        <v>0</v>
      </c>
      <c r="F291" s="11">
        <v>4000</v>
      </c>
      <c r="G291" s="11" t="s">
        <v>79</v>
      </c>
      <c r="H291" s="11" t="s">
        <v>80</v>
      </c>
      <c r="I291" s="11" t="s">
        <v>81</v>
      </c>
      <c r="J291" s="11" t="s">
        <v>82</v>
      </c>
      <c r="K291" s="11" t="s">
        <v>83</v>
      </c>
      <c r="L291" s="6" t="s">
        <v>559</v>
      </c>
    </row>
  </sheetData>
  <dataValidations count="1">
    <dataValidation type="list" allowBlank="1" showInputMessage="1" showErrorMessage="1" sqref="D182">
      <formula1>[1]DataTypeDefinition!#REF!</formula1>
    </dataValidation>
  </dataValidations>
  <pageMargins left="0.699305555555556" right="0.699305555555556" top="0.75" bottom="0.75" header="0.3" footer="0.3"/>
  <pageSetup paperSize="9" orientation="portrait"/>
  <headerFooter/>
  <legacyDrawing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L15"/>
  <sheetViews>
    <sheetView tabSelected="1" workbookViewId="0">
      <selection activeCell="C5" sqref="C5"/>
    </sheetView>
  </sheetViews>
  <sheetFormatPr defaultColWidth="8.72727272727273" defaultRowHeight="14"/>
  <cols>
    <col min="1" max="1" width="30.9090909090909" customWidth="1"/>
    <col min="2" max="2" width="10" customWidth="1"/>
    <col min="3" max="3" width="30.4545454545455" customWidth="1"/>
  </cols>
  <sheetData>
    <row r="1" s="4" customFormat="1" ht="11.5" spans="1:12">
      <c r="A1" s="5" t="s">
        <v>69</v>
      </c>
      <c r="B1" s="5" t="s">
        <v>26</v>
      </c>
      <c r="C1" s="4" t="s">
        <v>70</v>
      </c>
      <c r="D1" s="4" t="s">
        <v>71</v>
      </c>
      <c r="E1" s="4" t="s">
        <v>33</v>
      </c>
      <c r="F1" s="4" t="s">
        <v>34</v>
      </c>
      <c r="G1" s="4" t="s">
        <v>72</v>
      </c>
      <c r="H1" s="4" t="s">
        <v>73</v>
      </c>
      <c r="I1" s="4" t="s">
        <v>74</v>
      </c>
      <c r="J1" s="4" t="s">
        <v>75</v>
      </c>
      <c r="K1" s="4" t="s">
        <v>76</v>
      </c>
      <c r="L1" s="5" t="s">
        <v>11</v>
      </c>
    </row>
    <row r="2" spans="1:12">
      <c r="A2" s="6" t="s">
        <v>604</v>
      </c>
      <c r="B2" s="6" t="s">
        <v>78</v>
      </c>
      <c r="C2" s="11">
        <v>10000</v>
      </c>
      <c r="D2" s="11" t="s">
        <v>45</v>
      </c>
      <c r="E2" s="11">
        <v>0</v>
      </c>
      <c r="F2" s="11">
        <v>10000</v>
      </c>
      <c r="G2" s="11" t="s">
        <v>79</v>
      </c>
      <c r="H2" s="11" t="s">
        <v>80</v>
      </c>
      <c r="I2" s="11" t="s">
        <v>81</v>
      </c>
      <c r="J2" s="11" t="s">
        <v>605</v>
      </c>
      <c r="K2" s="11" t="s">
        <v>606</v>
      </c>
      <c r="L2" s="6" t="s">
        <v>559</v>
      </c>
    </row>
    <row r="3" spans="1:12">
      <c r="A3" s="6" t="s">
        <v>607</v>
      </c>
      <c r="B3" s="6" t="s">
        <v>78</v>
      </c>
      <c r="C3" s="11">
        <v>-10000</v>
      </c>
      <c r="D3" s="11" t="s">
        <v>45</v>
      </c>
      <c r="E3" s="11">
        <v>-10000</v>
      </c>
      <c r="F3" s="11">
        <v>0</v>
      </c>
      <c r="G3" s="11" t="s">
        <v>79</v>
      </c>
      <c r="H3" s="11" t="s">
        <v>80</v>
      </c>
      <c r="I3" s="11" t="s">
        <v>81</v>
      </c>
      <c r="J3" s="11" t="s">
        <v>605</v>
      </c>
      <c r="K3" s="11" t="s">
        <v>606</v>
      </c>
      <c r="L3" s="6" t="s">
        <v>559</v>
      </c>
    </row>
    <row r="4" spans="1:12">
      <c r="A4" s="6" t="s">
        <v>608</v>
      </c>
      <c r="B4" s="6" t="s">
        <v>78</v>
      </c>
      <c r="C4" s="11" t="s">
        <v>609</v>
      </c>
      <c r="D4" s="11" t="s">
        <v>45</v>
      </c>
      <c r="E4" s="11">
        <v>0</v>
      </c>
      <c r="F4" s="11">
        <v>1000</v>
      </c>
      <c r="G4" s="11" t="s">
        <v>79</v>
      </c>
      <c r="H4" s="11" t="s">
        <v>80</v>
      </c>
      <c r="I4" s="11" t="s">
        <v>81</v>
      </c>
      <c r="J4" s="11" t="s">
        <v>605</v>
      </c>
      <c r="K4" s="11" t="s">
        <v>606</v>
      </c>
      <c r="L4" s="6" t="s">
        <v>559</v>
      </c>
    </row>
    <row r="5" spans="1:12">
      <c r="A5" s="6" t="s">
        <v>610</v>
      </c>
      <c r="B5" s="6" t="s">
        <v>78</v>
      </c>
      <c r="C5" s="11">
        <v>16.5</v>
      </c>
      <c r="D5" s="11" t="s">
        <v>45</v>
      </c>
      <c r="E5" s="11">
        <v>0</v>
      </c>
      <c r="F5" s="11">
        <v>1000</v>
      </c>
      <c r="G5" s="11" t="s">
        <v>79</v>
      </c>
      <c r="H5" s="11" t="s">
        <v>80</v>
      </c>
      <c r="I5" s="11" t="s">
        <v>81</v>
      </c>
      <c r="J5" s="11" t="s">
        <v>605</v>
      </c>
      <c r="K5" s="11" t="s">
        <v>606</v>
      </c>
      <c r="L5" s="6" t="s">
        <v>559</v>
      </c>
    </row>
    <row r="6" spans="1:12">
      <c r="A6" s="6" t="s">
        <v>611</v>
      </c>
      <c r="B6" s="6" t="s">
        <v>78</v>
      </c>
      <c r="C6" s="11">
        <v>1</v>
      </c>
      <c r="D6" s="11" t="s">
        <v>45</v>
      </c>
      <c r="E6" s="11">
        <v>0</v>
      </c>
      <c r="F6" s="11">
        <v>1</v>
      </c>
      <c r="G6" s="11" t="s">
        <v>79</v>
      </c>
      <c r="H6" s="11" t="s">
        <v>80</v>
      </c>
      <c r="I6" s="11" t="s">
        <v>81</v>
      </c>
      <c r="J6" s="11" t="s">
        <v>605</v>
      </c>
      <c r="K6" s="11" t="s">
        <v>606</v>
      </c>
      <c r="L6" s="6" t="s">
        <v>559</v>
      </c>
    </row>
    <row r="7" spans="1:12">
      <c r="A7" s="6" t="s">
        <v>612</v>
      </c>
      <c r="B7" s="6" t="s">
        <v>78</v>
      </c>
      <c r="C7" s="11">
        <v>1</v>
      </c>
      <c r="D7" s="11" t="s">
        <v>45</v>
      </c>
      <c r="E7" s="11">
        <v>0</v>
      </c>
      <c r="F7" s="11">
        <v>1</v>
      </c>
      <c r="G7" s="11" t="s">
        <v>79</v>
      </c>
      <c r="H7" s="11" t="s">
        <v>80</v>
      </c>
      <c r="I7" s="11" t="s">
        <v>81</v>
      </c>
      <c r="J7" s="11" t="s">
        <v>605</v>
      </c>
      <c r="K7" s="11" t="s">
        <v>606</v>
      </c>
      <c r="L7" s="6" t="s">
        <v>559</v>
      </c>
    </row>
    <row r="8" spans="1:12">
      <c r="A8" s="6" t="s">
        <v>613</v>
      </c>
      <c r="B8" s="6" t="s">
        <v>78</v>
      </c>
      <c r="C8" s="11">
        <v>1.5</v>
      </c>
      <c r="D8" s="11" t="s">
        <v>45</v>
      </c>
      <c r="E8" s="11">
        <v>0</v>
      </c>
      <c r="F8" s="11">
        <v>5</v>
      </c>
      <c r="G8" s="11" t="s">
        <v>79</v>
      </c>
      <c r="H8" s="11" t="s">
        <v>80</v>
      </c>
      <c r="I8" s="11" t="s">
        <v>81</v>
      </c>
      <c r="J8" s="11" t="s">
        <v>605</v>
      </c>
      <c r="K8" s="11" t="s">
        <v>606</v>
      </c>
      <c r="L8" s="6" t="s">
        <v>559</v>
      </c>
    </row>
    <row r="9" spans="1:12">
      <c r="A9" s="6" t="s">
        <v>614</v>
      </c>
      <c r="B9" s="6" t="s">
        <v>78</v>
      </c>
      <c r="C9" s="11">
        <v>0.015</v>
      </c>
      <c r="D9" s="11" t="s">
        <v>45</v>
      </c>
      <c r="E9" s="11">
        <v>0</v>
      </c>
      <c r="F9" s="11">
        <v>1</v>
      </c>
      <c r="G9" s="11" t="s">
        <v>79</v>
      </c>
      <c r="H9" s="11" t="s">
        <v>80</v>
      </c>
      <c r="I9" s="11" t="s">
        <v>81</v>
      </c>
      <c r="J9" s="11" t="s">
        <v>605</v>
      </c>
      <c r="K9" s="11" t="s">
        <v>606</v>
      </c>
      <c r="L9" s="6" t="s">
        <v>559</v>
      </c>
    </row>
    <row r="10" spans="1:12">
      <c r="A10" s="6" t="s">
        <v>615</v>
      </c>
      <c r="B10" s="6" t="s">
        <v>78</v>
      </c>
      <c r="C10" s="11">
        <v>3.5</v>
      </c>
      <c r="D10" s="11" t="s">
        <v>45</v>
      </c>
      <c r="E10" s="11">
        <v>0</v>
      </c>
      <c r="F10" s="11">
        <v>5</v>
      </c>
      <c r="G10" s="11" t="s">
        <v>79</v>
      </c>
      <c r="H10" s="11" t="s">
        <v>80</v>
      </c>
      <c r="I10" s="11" t="s">
        <v>81</v>
      </c>
      <c r="J10" s="11" t="s">
        <v>605</v>
      </c>
      <c r="K10" s="11" t="s">
        <v>606</v>
      </c>
      <c r="L10" s="6" t="s">
        <v>559</v>
      </c>
    </row>
    <row r="11" spans="1:12">
      <c r="A11" s="6" t="s">
        <v>616</v>
      </c>
      <c r="B11" s="6" t="s">
        <v>78</v>
      </c>
      <c r="C11" s="11">
        <v>0.002</v>
      </c>
      <c r="D11" s="11" t="s">
        <v>45</v>
      </c>
      <c r="E11" s="11">
        <v>0</v>
      </c>
      <c r="F11" s="11">
        <v>1</v>
      </c>
      <c r="G11" s="11" t="s">
        <v>79</v>
      </c>
      <c r="H11" s="11" t="s">
        <v>80</v>
      </c>
      <c r="I11" s="11" t="s">
        <v>81</v>
      </c>
      <c r="J11" s="11" t="s">
        <v>605</v>
      </c>
      <c r="K11" s="11" t="s">
        <v>606</v>
      </c>
      <c r="L11" s="6" t="s">
        <v>559</v>
      </c>
    </row>
    <row r="12" spans="1:12">
      <c r="A12" s="6" t="s">
        <v>617</v>
      </c>
      <c r="B12" s="6" t="s">
        <v>78</v>
      </c>
      <c r="C12" s="11">
        <v>1000</v>
      </c>
      <c r="D12" s="11" t="s">
        <v>45</v>
      </c>
      <c r="E12" s="11">
        <v>0</v>
      </c>
      <c r="F12" s="11">
        <v>6000</v>
      </c>
      <c r="G12" s="11" t="s">
        <v>79</v>
      </c>
      <c r="H12" s="11" t="s">
        <v>80</v>
      </c>
      <c r="I12" s="11" t="s">
        <v>81</v>
      </c>
      <c r="J12" s="11" t="s">
        <v>605</v>
      </c>
      <c r="K12" s="11" t="s">
        <v>606</v>
      </c>
      <c r="L12" s="6" t="s">
        <v>559</v>
      </c>
    </row>
    <row r="13" spans="1:12">
      <c r="A13" s="6" t="s">
        <v>618</v>
      </c>
      <c r="B13" s="6" t="s">
        <v>78</v>
      </c>
      <c r="C13" s="11">
        <v>2000</v>
      </c>
      <c r="D13" s="11" t="s">
        <v>45</v>
      </c>
      <c r="E13" s="11">
        <v>0</v>
      </c>
      <c r="F13" s="11">
        <v>6000</v>
      </c>
      <c r="G13" s="11" t="s">
        <v>79</v>
      </c>
      <c r="H13" s="11" t="s">
        <v>80</v>
      </c>
      <c r="I13" s="11" t="s">
        <v>81</v>
      </c>
      <c r="J13" s="11" t="s">
        <v>605</v>
      </c>
      <c r="K13" s="11" t="s">
        <v>606</v>
      </c>
      <c r="L13" s="6" t="s">
        <v>559</v>
      </c>
    </row>
    <row r="14" spans="1:12">
      <c r="A14" s="6" t="s">
        <v>619</v>
      </c>
      <c r="B14" s="6" t="s">
        <v>78</v>
      </c>
      <c r="C14" s="13" t="s">
        <v>620</v>
      </c>
      <c r="D14" s="11" t="s">
        <v>46</v>
      </c>
      <c r="E14" s="11">
        <v>0</v>
      </c>
      <c r="F14" s="11">
        <v>1</v>
      </c>
      <c r="G14" s="11" t="s">
        <v>79</v>
      </c>
      <c r="H14" s="11" t="s">
        <v>80</v>
      </c>
      <c r="I14" s="11" t="s">
        <v>81</v>
      </c>
      <c r="J14" s="11" t="s">
        <v>605</v>
      </c>
      <c r="K14" s="11" t="s">
        <v>606</v>
      </c>
      <c r="L14" s="6" t="s">
        <v>559</v>
      </c>
    </row>
    <row r="15" spans="1:12">
      <c r="A15" s="6" t="s">
        <v>621</v>
      </c>
      <c r="B15" s="6" t="s">
        <v>78</v>
      </c>
      <c r="C15" s="13">
        <v>0</v>
      </c>
      <c r="D15" s="11" t="s">
        <v>46</v>
      </c>
      <c r="E15" s="11">
        <v>0</v>
      </c>
      <c r="F15" s="11">
        <v>1</v>
      </c>
      <c r="G15" s="11" t="s">
        <v>79</v>
      </c>
      <c r="H15" s="11" t="s">
        <v>80</v>
      </c>
      <c r="I15" s="11" t="s">
        <v>81</v>
      </c>
      <c r="J15" s="11" t="s">
        <v>605</v>
      </c>
      <c r="K15" s="11" t="s">
        <v>606</v>
      </c>
      <c r="L15" s="6" t="s">
        <v>559</v>
      </c>
    </row>
  </sheetData>
  <pageMargins left="0.75" right="0.75" top="1" bottom="1" header="0.5" footer="0.5"/>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U49"/>
  <sheetViews>
    <sheetView zoomScale="85" zoomScaleNormal="85" workbookViewId="0">
      <pane xSplit="1" ySplit="1" topLeftCell="B32" activePane="bottomRight" state="frozen"/>
      <selection/>
      <selection pane="topRight"/>
      <selection pane="bottomLeft"/>
      <selection pane="bottomRight" activeCell="I41" sqref="I41"/>
    </sheetView>
  </sheetViews>
  <sheetFormatPr defaultColWidth="9" defaultRowHeight="11.5"/>
  <cols>
    <col min="1" max="1" width="17.7545454545455" style="6" customWidth="1"/>
    <col min="2" max="2" width="8.12727272727273" style="6" customWidth="1"/>
    <col min="3" max="3" width="7.5" style="11" customWidth="1"/>
    <col min="4" max="4" width="24.2545454545455" style="11" customWidth="1"/>
    <col min="5" max="5" width="12" style="11" customWidth="1"/>
    <col min="6" max="8" width="8.25454545454545" style="11" customWidth="1"/>
    <col min="9" max="9" width="19.8727272727273" style="11" customWidth="1"/>
    <col min="10" max="10" width="12" style="11" customWidth="1"/>
    <col min="11" max="13" width="8.25454545454545" style="11" customWidth="1"/>
    <col min="14" max="14" width="19.8727272727273" style="11" customWidth="1"/>
    <col min="15" max="15" width="12" style="11" customWidth="1"/>
    <col min="16" max="18" width="8.25454545454545" style="11" customWidth="1"/>
    <col min="19" max="19" width="41.8727272727273" style="6" customWidth="1"/>
    <col min="20" max="16384" width="9" style="11"/>
  </cols>
  <sheetData>
    <row r="1" s="4" customFormat="1" spans="1:21">
      <c r="A1" s="5" t="s">
        <v>69</v>
      </c>
      <c r="B1" s="5" t="s">
        <v>26</v>
      </c>
      <c r="C1" s="4" t="s">
        <v>622</v>
      </c>
      <c r="D1" s="4" t="s">
        <v>623</v>
      </c>
      <c r="E1" s="4" t="s">
        <v>71</v>
      </c>
      <c r="F1" s="4" t="s">
        <v>624</v>
      </c>
      <c r="G1" s="4" t="s">
        <v>34</v>
      </c>
      <c r="H1" s="4" t="s">
        <v>625</v>
      </c>
      <c r="I1" s="4" t="s">
        <v>626</v>
      </c>
      <c r="J1" s="4" t="s">
        <v>71</v>
      </c>
      <c r="K1" s="4" t="s">
        <v>624</v>
      </c>
      <c r="L1" s="4" t="s">
        <v>34</v>
      </c>
      <c r="M1" s="4" t="s">
        <v>625</v>
      </c>
      <c r="N1" s="4" t="s">
        <v>627</v>
      </c>
      <c r="O1" s="4" t="s">
        <v>71</v>
      </c>
      <c r="P1" s="4" t="s">
        <v>624</v>
      </c>
      <c r="Q1" s="4" t="s">
        <v>34</v>
      </c>
      <c r="R1" s="4" t="s">
        <v>625</v>
      </c>
      <c r="S1" s="5" t="s">
        <v>11</v>
      </c>
      <c r="U1" s="4" t="s">
        <v>628</v>
      </c>
    </row>
    <row r="2" spans="1:19">
      <c r="A2" s="6" t="s">
        <v>629</v>
      </c>
      <c r="B2" s="6" t="s">
        <v>78</v>
      </c>
      <c r="C2" s="11">
        <v>1</v>
      </c>
      <c r="D2" s="11" t="s">
        <v>630</v>
      </c>
      <c r="E2" s="11" t="s">
        <v>45</v>
      </c>
      <c r="F2" s="11">
        <v>0</v>
      </c>
      <c r="G2" s="11">
        <v>1</v>
      </c>
      <c r="H2" s="11" t="s">
        <v>79</v>
      </c>
      <c r="I2" s="11" t="s">
        <v>631</v>
      </c>
      <c r="J2" s="11" t="s">
        <v>45</v>
      </c>
      <c r="K2" s="11">
        <v>-18000</v>
      </c>
      <c r="L2" s="11">
        <v>18000</v>
      </c>
      <c r="M2" s="11" t="s">
        <v>235</v>
      </c>
      <c r="R2" s="11" t="s">
        <v>632</v>
      </c>
      <c r="S2" s="6" t="s">
        <v>633</v>
      </c>
    </row>
    <row r="3" spans="1:19">
      <c r="A3" s="6" t="s">
        <v>634</v>
      </c>
      <c r="B3" s="6" t="s">
        <v>78</v>
      </c>
      <c r="C3" s="11">
        <v>1</v>
      </c>
      <c r="D3" s="11" t="s">
        <v>630</v>
      </c>
      <c r="E3" s="11" t="s">
        <v>45</v>
      </c>
      <c r="F3" s="11">
        <v>0</v>
      </c>
      <c r="G3" s="11">
        <v>1</v>
      </c>
      <c r="H3" s="11" t="s">
        <v>79</v>
      </c>
      <c r="I3" s="11" t="s">
        <v>635</v>
      </c>
      <c r="J3" s="11" t="s">
        <v>45</v>
      </c>
      <c r="K3" s="11">
        <v>-1000</v>
      </c>
      <c r="L3" s="11">
        <v>1000</v>
      </c>
      <c r="M3" s="11" t="s">
        <v>172</v>
      </c>
      <c r="R3" s="11" t="s">
        <v>632</v>
      </c>
      <c r="S3" s="6" t="s">
        <v>636</v>
      </c>
    </row>
    <row r="4" spans="1:19">
      <c r="A4" s="6" t="s">
        <v>637</v>
      </c>
      <c r="B4" s="6" t="s">
        <v>78</v>
      </c>
      <c r="C4" s="11">
        <v>1</v>
      </c>
      <c r="D4" s="11" t="s">
        <v>638</v>
      </c>
      <c r="E4" s="11" t="s">
        <v>45</v>
      </c>
      <c r="F4" s="11">
        <v>0</v>
      </c>
      <c r="G4" s="11">
        <v>1</v>
      </c>
      <c r="H4" s="11" t="s">
        <v>79</v>
      </c>
      <c r="I4" s="11" t="s">
        <v>639</v>
      </c>
      <c r="J4" s="11" t="s">
        <v>45</v>
      </c>
      <c r="K4" s="11">
        <v>-1000</v>
      </c>
      <c r="L4" s="11">
        <v>1000</v>
      </c>
      <c r="M4" s="11" t="s">
        <v>79</v>
      </c>
      <c r="R4" s="11" t="s">
        <v>632</v>
      </c>
      <c r="S4" s="6" t="s">
        <v>640</v>
      </c>
    </row>
    <row r="5" spans="1:19">
      <c r="A5" s="6" t="s">
        <v>641</v>
      </c>
      <c r="B5" s="6" t="s">
        <v>78</v>
      </c>
      <c r="C5" s="11">
        <v>1</v>
      </c>
      <c r="D5" s="11" t="s">
        <v>642</v>
      </c>
      <c r="E5" s="11" t="s">
        <v>45</v>
      </c>
      <c r="F5" s="11">
        <v>0</v>
      </c>
      <c r="G5" s="11">
        <v>1</v>
      </c>
      <c r="H5" s="11" t="s">
        <v>79</v>
      </c>
      <c r="I5" s="11" t="s">
        <v>643</v>
      </c>
      <c r="J5" s="11" t="s">
        <v>45</v>
      </c>
      <c r="K5" s="11">
        <v>-1024</v>
      </c>
      <c r="L5" s="11">
        <v>1024</v>
      </c>
      <c r="M5" s="11" t="s">
        <v>108</v>
      </c>
      <c r="R5" s="11" t="s">
        <v>632</v>
      </c>
      <c r="S5" s="6" t="s">
        <v>644</v>
      </c>
    </row>
    <row r="6" spans="1:19">
      <c r="A6" s="6" t="s">
        <v>645</v>
      </c>
      <c r="B6" s="6" t="s">
        <v>78</v>
      </c>
      <c r="C6" s="11">
        <v>1</v>
      </c>
      <c r="D6" s="11" t="s">
        <v>642</v>
      </c>
      <c r="E6" s="11" t="s">
        <v>45</v>
      </c>
      <c r="F6" s="11">
        <v>0</v>
      </c>
      <c r="G6" s="11">
        <v>1</v>
      </c>
      <c r="H6" s="11" t="s">
        <v>79</v>
      </c>
      <c r="I6" s="11" t="s">
        <v>643</v>
      </c>
      <c r="J6" s="11" t="s">
        <v>45</v>
      </c>
      <c r="K6" s="11">
        <v>-1024</v>
      </c>
      <c r="L6" s="11">
        <v>1024</v>
      </c>
      <c r="M6" s="11" t="s">
        <v>108</v>
      </c>
      <c r="R6" s="11" t="s">
        <v>632</v>
      </c>
      <c r="S6" s="6" t="s">
        <v>646</v>
      </c>
    </row>
    <row r="7" spans="1:19">
      <c r="A7" s="6" t="s">
        <v>647</v>
      </c>
      <c r="B7" s="6" t="s">
        <v>78</v>
      </c>
      <c r="C7" s="11">
        <v>1</v>
      </c>
      <c r="D7" s="11" t="s">
        <v>648</v>
      </c>
      <c r="E7" s="11" t="s">
        <v>45</v>
      </c>
      <c r="F7" s="11">
        <v>0</v>
      </c>
      <c r="G7" s="11">
        <v>1</v>
      </c>
      <c r="H7" s="11" t="s">
        <v>79</v>
      </c>
      <c r="I7" s="11" t="s">
        <v>649</v>
      </c>
      <c r="J7" s="11" t="s">
        <v>45</v>
      </c>
      <c r="K7" s="11">
        <v>-50</v>
      </c>
      <c r="L7" s="11">
        <v>250</v>
      </c>
      <c r="M7" s="11" t="s">
        <v>354</v>
      </c>
      <c r="S7" s="6" t="s">
        <v>650</v>
      </c>
    </row>
    <row r="8" spans="1:19">
      <c r="A8" s="6" t="s">
        <v>651</v>
      </c>
      <c r="B8" s="6" t="s">
        <v>78</v>
      </c>
      <c r="C8" s="11">
        <v>1</v>
      </c>
      <c r="D8" s="11" t="s">
        <v>648</v>
      </c>
      <c r="E8" s="11" t="s">
        <v>45</v>
      </c>
      <c r="F8" s="11">
        <v>0</v>
      </c>
      <c r="G8" s="11">
        <v>1</v>
      </c>
      <c r="H8" s="11" t="s">
        <v>79</v>
      </c>
      <c r="I8" s="11" t="s">
        <v>649</v>
      </c>
      <c r="J8" s="11" t="s">
        <v>45</v>
      </c>
      <c r="K8" s="11">
        <v>-50</v>
      </c>
      <c r="L8" s="11">
        <v>250</v>
      </c>
      <c r="M8" s="11" t="s">
        <v>354</v>
      </c>
      <c r="S8" s="6" t="s">
        <v>652</v>
      </c>
    </row>
    <row r="9" spans="1:19">
      <c r="A9" s="6" t="s">
        <v>653</v>
      </c>
      <c r="B9" s="6" t="s">
        <v>78</v>
      </c>
      <c r="C9" s="11">
        <v>1</v>
      </c>
      <c r="D9" s="11" t="s">
        <v>648</v>
      </c>
      <c r="E9" s="11" t="s">
        <v>45</v>
      </c>
      <c r="F9" s="11">
        <v>0</v>
      </c>
      <c r="G9" s="11">
        <v>1</v>
      </c>
      <c r="H9" s="11" t="s">
        <v>79</v>
      </c>
      <c r="I9" s="11" t="s">
        <v>654</v>
      </c>
      <c r="J9" s="11" t="s">
        <v>45</v>
      </c>
      <c r="K9" s="11">
        <v>-50</v>
      </c>
      <c r="L9" s="11">
        <v>250</v>
      </c>
      <c r="M9" s="11" t="s">
        <v>354</v>
      </c>
      <c r="S9" s="6" t="s">
        <v>655</v>
      </c>
    </row>
    <row r="10" spans="1:19">
      <c r="A10" s="6" t="s">
        <v>656</v>
      </c>
      <c r="B10" s="6" t="s">
        <v>78</v>
      </c>
      <c r="C10" s="11">
        <v>1</v>
      </c>
      <c r="D10" s="11" t="s">
        <v>648</v>
      </c>
      <c r="E10" s="11" t="s">
        <v>45</v>
      </c>
      <c r="F10" s="11">
        <v>0</v>
      </c>
      <c r="G10" s="11">
        <v>1</v>
      </c>
      <c r="H10" s="11" t="s">
        <v>79</v>
      </c>
      <c r="I10" s="11" t="s">
        <v>654</v>
      </c>
      <c r="J10" s="11" t="s">
        <v>45</v>
      </c>
      <c r="K10" s="11">
        <v>-50</v>
      </c>
      <c r="L10" s="11">
        <v>250</v>
      </c>
      <c r="M10" s="11" t="s">
        <v>354</v>
      </c>
      <c r="S10" s="6" t="s">
        <v>657</v>
      </c>
    </row>
    <row r="11" spans="1:19">
      <c r="A11" s="6" t="s">
        <v>658</v>
      </c>
      <c r="B11" s="6" t="s">
        <v>78</v>
      </c>
      <c r="C11" s="11">
        <v>1</v>
      </c>
      <c r="D11" s="11" t="s">
        <v>659</v>
      </c>
      <c r="E11" s="11" t="s">
        <v>45</v>
      </c>
      <c r="F11" s="11">
        <v>0</v>
      </c>
      <c r="G11" s="11">
        <v>1</v>
      </c>
      <c r="H11" s="11" t="s">
        <v>79</v>
      </c>
      <c r="I11" s="11" t="s">
        <v>660</v>
      </c>
      <c r="J11" s="11" t="s">
        <v>45</v>
      </c>
      <c r="K11" s="11">
        <v>-50</v>
      </c>
      <c r="L11" s="11">
        <v>250</v>
      </c>
      <c r="M11" s="11" t="s">
        <v>354</v>
      </c>
      <c r="S11" s="6" t="s">
        <v>661</v>
      </c>
    </row>
    <row r="12" spans="1:19">
      <c r="A12" s="6" t="s">
        <v>662</v>
      </c>
      <c r="B12" s="6" t="s">
        <v>78</v>
      </c>
      <c r="C12" s="11">
        <v>1</v>
      </c>
      <c r="D12" s="11" t="s">
        <v>663</v>
      </c>
      <c r="E12" s="11" t="s">
        <v>45</v>
      </c>
      <c r="F12" s="11">
        <v>0</v>
      </c>
      <c r="G12" s="11">
        <v>1</v>
      </c>
      <c r="H12" s="11" t="s">
        <v>79</v>
      </c>
      <c r="I12" s="11" t="s">
        <v>660</v>
      </c>
      <c r="J12" s="11" t="s">
        <v>45</v>
      </c>
      <c r="K12" s="11">
        <v>-50</v>
      </c>
      <c r="L12" s="11">
        <v>250</v>
      </c>
      <c r="M12" s="11" t="s">
        <v>354</v>
      </c>
      <c r="S12" s="6" t="s">
        <v>664</v>
      </c>
    </row>
    <row r="13" spans="1:19">
      <c r="A13" s="6" t="s">
        <v>665</v>
      </c>
      <c r="B13" s="6" t="s">
        <v>78</v>
      </c>
      <c r="C13" s="11">
        <v>1</v>
      </c>
      <c r="D13" s="11" t="s">
        <v>659</v>
      </c>
      <c r="E13" s="11" t="s">
        <v>45</v>
      </c>
      <c r="F13" s="11">
        <v>0</v>
      </c>
      <c r="G13" s="11">
        <v>1</v>
      </c>
      <c r="H13" s="11" t="s">
        <v>79</v>
      </c>
      <c r="I13" s="11" t="s">
        <v>660</v>
      </c>
      <c r="J13" s="11" t="s">
        <v>45</v>
      </c>
      <c r="K13" s="11">
        <v>-50</v>
      </c>
      <c r="L13" s="11">
        <v>250</v>
      </c>
      <c r="M13" s="11" t="s">
        <v>354</v>
      </c>
      <c r="S13" s="6" t="s">
        <v>666</v>
      </c>
    </row>
    <row r="14" spans="1:19">
      <c r="A14" s="6" t="s">
        <v>667</v>
      </c>
      <c r="B14" s="6" t="s">
        <v>78</v>
      </c>
      <c r="C14" s="11">
        <v>1</v>
      </c>
      <c r="D14" s="11" t="s">
        <v>668</v>
      </c>
      <c r="E14" s="11" t="s">
        <v>45</v>
      </c>
      <c r="F14" s="11">
        <v>0</v>
      </c>
      <c r="G14" s="11">
        <v>1</v>
      </c>
      <c r="H14" s="11" t="s">
        <v>79</v>
      </c>
      <c r="I14" s="11" t="s">
        <v>660</v>
      </c>
      <c r="J14" s="11" t="s">
        <v>45</v>
      </c>
      <c r="K14" s="11">
        <v>-50</v>
      </c>
      <c r="L14" s="11">
        <v>250</v>
      </c>
      <c r="M14" s="11" t="s">
        <v>354</v>
      </c>
      <c r="S14" s="6" t="s">
        <v>669</v>
      </c>
    </row>
    <row r="15" spans="1:19">
      <c r="A15" s="6" t="s">
        <v>670</v>
      </c>
      <c r="B15" s="6" t="s">
        <v>78</v>
      </c>
      <c r="C15" s="11">
        <v>1</v>
      </c>
      <c r="D15" s="11" t="s">
        <v>671</v>
      </c>
      <c r="E15" s="11" t="s">
        <v>45</v>
      </c>
      <c r="F15" s="11">
        <v>0</v>
      </c>
      <c r="G15" s="11">
        <v>1</v>
      </c>
      <c r="H15" s="11" t="s">
        <v>79</v>
      </c>
      <c r="I15" s="11" t="s">
        <v>672</v>
      </c>
      <c r="J15" s="11" t="s">
        <v>45</v>
      </c>
      <c r="K15" s="11">
        <v>-50</v>
      </c>
      <c r="L15" s="11">
        <v>250</v>
      </c>
      <c r="M15" s="11" t="s">
        <v>354</v>
      </c>
      <c r="S15" s="6" t="s">
        <v>673</v>
      </c>
    </row>
    <row r="16" spans="1:19">
      <c r="A16" s="6" t="s">
        <v>674</v>
      </c>
      <c r="B16" s="6" t="s">
        <v>78</v>
      </c>
      <c r="C16" s="11">
        <v>1</v>
      </c>
      <c r="D16" s="11" t="s">
        <v>671</v>
      </c>
      <c r="E16" s="11" t="s">
        <v>45</v>
      </c>
      <c r="F16" s="11">
        <v>0</v>
      </c>
      <c r="G16" s="11">
        <v>1</v>
      </c>
      <c r="H16" s="11" t="s">
        <v>79</v>
      </c>
      <c r="I16" s="11" t="s">
        <v>672</v>
      </c>
      <c r="J16" s="11" t="s">
        <v>45</v>
      </c>
      <c r="K16" s="11">
        <v>-50</v>
      </c>
      <c r="L16" s="11">
        <v>250</v>
      </c>
      <c r="M16" s="11" t="s">
        <v>354</v>
      </c>
      <c r="S16" s="6" t="s">
        <v>675</v>
      </c>
    </row>
    <row r="17" spans="1:19">
      <c r="A17" s="6" t="s">
        <v>676</v>
      </c>
      <c r="B17" s="6" t="s">
        <v>78</v>
      </c>
      <c r="C17" s="11">
        <v>1</v>
      </c>
      <c r="D17" s="11" t="s">
        <v>671</v>
      </c>
      <c r="E17" s="11" t="s">
        <v>45</v>
      </c>
      <c r="F17" s="11">
        <v>0</v>
      </c>
      <c r="G17" s="11">
        <v>1</v>
      </c>
      <c r="H17" s="11" t="s">
        <v>79</v>
      </c>
      <c r="I17" s="11" t="s">
        <v>672</v>
      </c>
      <c r="J17" s="11" t="s">
        <v>45</v>
      </c>
      <c r="K17" s="11">
        <v>-50</v>
      </c>
      <c r="L17" s="11">
        <v>250</v>
      </c>
      <c r="M17" s="11" t="s">
        <v>354</v>
      </c>
      <c r="S17" s="6" t="s">
        <v>666</v>
      </c>
    </row>
    <row r="18" spans="1:19">
      <c r="A18" s="6" t="s">
        <v>677</v>
      </c>
      <c r="B18" s="6" t="s">
        <v>78</v>
      </c>
      <c r="C18" s="11">
        <v>1</v>
      </c>
      <c r="D18" s="11" t="s">
        <v>671</v>
      </c>
      <c r="E18" s="11" t="s">
        <v>45</v>
      </c>
      <c r="F18" s="11">
        <v>0</v>
      </c>
      <c r="G18" s="11">
        <v>1</v>
      </c>
      <c r="H18" s="11" t="s">
        <v>79</v>
      </c>
      <c r="I18" s="11" t="s">
        <v>672</v>
      </c>
      <c r="J18" s="11" t="s">
        <v>45</v>
      </c>
      <c r="K18" s="11">
        <v>-50</v>
      </c>
      <c r="L18" s="11">
        <v>250</v>
      </c>
      <c r="M18" s="11" t="s">
        <v>354</v>
      </c>
      <c r="S18" s="6" t="s">
        <v>669</v>
      </c>
    </row>
    <row r="19" s="16" customFormat="1" spans="1:19">
      <c r="A19" s="9" t="s">
        <v>678</v>
      </c>
      <c r="B19" s="9" t="s">
        <v>78</v>
      </c>
      <c r="C19" s="16">
        <v>1</v>
      </c>
      <c r="D19" s="16" t="s">
        <v>679</v>
      </c>
      <c r="E19" s="16" t="s">
        <v>45</v>
      </c>
      <c r="F19" s="16">
        <v>0</v>
      </c>
      <c r="G19" s="16">
        <v>100</v>
      </c>
      <c r="H19" s="16" t="s">
        <v>94</v>
      </c>
      <c r="I19" s="16" t="s">
        <v>680</v>
      </c>
      <c r="J19" s="16" t="s">
        <v>45</v>
      </c>
      <c r="K19" s="16">
        <v>0</v>
      </c>
      <c r="L19" s="16">
        <v>20000</v>
      </c>
      <c r="M19" s="16" t="s">
        <v>235</v>
      </c>
      <c r="S19" s="9" t="s">
        <v>681</v>
      </c>
    </row>
    <row r="20" s="16" customFormat="1" spans="1:19">
      <c r="A20" s="9" t="s">
        <v>682</v>
      </c>
      <c r="B20" s="9" t="s">
        <v>78</v>
      </c>
      <c r="C20" s="16">
        <v>1</v>
      </c>
      <c r="D20" s="16" t="s">
        <v>683</v>
      </c>
      <c r="E20" s="16" t="s">
        <v>45</v>
      </c>
      <c r="F20" s="16">
        <v>-100</v>
      </c>
      <c r="G20" s="16">
        <v>0</v>
      </c>
      <c r="H20" s="16" t="s">
        <v>94</v>
      </c>
      <c r="I20" s="16" t="s">
        <v>680</v>
      </c>
      <c r="J20" s="16" t="s">
        <v>45</v>
      </c>
      <c r="K20" s="16">
        <v>0</v>
      </c>
      <c r="L20" s="16">
        <v>20000</v>
      </c>
      <c r="M20" s="16" t="s">
        <v>235</v>
      </c>
      <c r="S20" s="9" t="s">
        <v>684</v>
      </c>
    </row>
    <row r="21" spans="1:19">
      <c r="A21" s="6" t="s">
        <v>685</v>
      </c>
      <c r="B21" s="6" t="s">
        <v>78</v>
      </c>
      <c r="C21" s="11">
        <v>2</v>
      </c>
      <c r="D21" s="11" t="s">
        <v>686</v>
      </c>
      <c r="E21" s="11" t="s">
        <v>45</v>
      </c>
      <c r="F21" s="11">
        <v>0</v>
      </c>
      <c r="G21" s="11">
        <v>50000</v>
      </c>
      <c r="H21" s="11" t="s">
        <v>169</v>
      </c>
      <c r="I21" s="11" t="s">
        <v>687</v>
      </c>
      <c r="J21" s="11" t="s">
        <v>45</v>
      </c>
      <c r="K21" s="11">
        <v>-180000</v>
      </c>
      <c r="L21" s="11">
        <v>180000</v>
      </c>
      <c r="M21" s="11" t="s">
        <v>169</v>
      </c>
      <c r="N21" s="11" t="s">
        <v>688</v>
      </c>
      <c r="O21" s="11" t="s">
        <v>45</v>
      </c>
      <c r="P21" s="11">
        <v>0</v>
      </c>
      <c r="Q21" s="11">
        <v>20000</v>
      </c>
      <c r="R21" s="11" t="s">
        <v>235</v>
      </c>
      <c r="S21" s="6" t="s">
        <v>689</v>
      </c>
    </row>
    <row r="22" spans="1:19">
      <c r="A22" s="6" t="s">
        <v>690</v>
      </c>
      <c r="B22" s="6" t="s">
        <v>78</v>
      </c>
      <c r="C22" s="11">
        <v>2</v>
      </c>
      <c r="D22" s="11" t="s">
        <v>686</v>
      </c>
      <c r="E22" s="11" t="s">
        <v>45</v>
      </c>
      <c r="F22" s="11">
        <v>0</v>
      </c>
      <c r="G22" s="11">
        <v>50000</v>
      </c>
      <c r="H22" s="11" t="s">
        <v>169</v>
      </c>
      <c r="I22" s="11" t="s">
        <v>687</v>
      </c>
      <c r="J22" s="11" t="s">
        <v>45</v>
      </c>
      <c r="K22" s="11">
        <v>-180000</v>
      </c>
      <c r="L22" s="11">
        <v>180000</v>
      </c>
      <c r="M22" s="11" t="s">
        <v>169</v>
      </c>
      <c r="N22" s="11" t="s">
        <v>688</v>
      </c>
      <c r="O22" s="11" t="s">
        <v>45</v>
      </c>
      <c r="P22" s="11">
        <v>0</v>
      </c>
      <c r="Q22" s="11">
        <v>20000</v>
      </c>
      <c r="R22" s="11" t="s">
        <v>235</v>
      </c>
      <c r="S22" s="6" t="s">
        <v>691</v>
      </c>
    </row>
    <row r="23" spans="1:19">
      <c r="A23" s="6" t="s">
        <v>692</v>
      </c>
      <c r="B23" s="6" t="s">
        <v>78</v>
      </c>
      <c r="C23" s="11">
        <v>1</v>
      </c>
      <c r="D23" s="11" t="s">
        <v>693</v>
      </c>
      <c r="E23" s="11" t="s">
        <v>45</v>
      </c>
      <c r="F23" s="11">
        <v>-55</v>
      </c>
      <c r="G23" s="11">
        <v>200</v>
      </c>
      <c r="H23" s="11" t="s">
        <v>694</v>
      </c>
      <c r="I23" s="11" t="s">
        <v>695</v>
      </c>
      <c r="J23" s="11" t="s">
        <v>45</v>
      </c>
      <c r="K23" s="11">
        <v>0</v>
      </c>
      <c r="L23" s="11">
        <v>65535</v>
      </c>
      <c r="M23" s="11" t="s">
        <v>79</v>
      </c>
      <c r="S23" s="6" t="s">
        <v>696</v>
      </c>
    </row>
    <row r="24" spans="1:19">
      <c r="A24" s="6" t="s">
        <v>697</v>
      </c>
      <c r="B24" s="6" t="s">
        <v>78</v>
      </c>
      <c r="C24" s="11">
        <v>1</v>
      </c>
      <c r="D24" s="11" t="s">
        <v>698</v>
      </c>
      <c r="E24" s="11" t="s">
        <v>45</v>
      </c>
      <c r="F24" s="11">
        <v>-100</v>
      </c>
      <c r="G24" s="11">
        <v>300</v>
      </c>
      <c r="H24" s="11" t="s">
        <v>694</v>
      </c>
      <c r="I24" s="11" t="s">
        <v>699</v>
      </c>
      <c r="J24" s="11" t="s">
        <v>45</v>
      </c>
      <c r="K24" s="11">
        <v>0</v>
      </c>
      <c r="L24" s="11">
        <v>65535</v>
      </c>
      <c r="M24" s="11" t="s">
        <v>79</v>
      </c>
      <c r="S24" s="6" t="s">
        <v>700</v>
      </c>
    </row>
    <row r="25" spans="1:19">
      <c r="A25" s="6" t="s">
        <v>701</v>
      </c>
      <c r="B25" s="6" t="s">
        <v>78</v>
      </c>
      <c r="C25" s="11">
        <v>1</v>
      </c>
      <c r="D25" s="11" t="s">
        <v>702</v>
      </c>
      <c r="E25" s="11" t="s">
        <v>45</v>
      </c>
      <c r="F25" s="11">
        <v>-100</v>
      </c>
      <c r="G25" s="11">
        <v>300</v>
      </c>
      <c r="H25" s="11" t="s">
        <v>694</v>
      </c>
      <c r="I25" s="11" t="s">
        <v>699</v>
      </c>
      <c r="J25" s="11" t="s">
        <v>45</v>
      </c>
      <c r="K25" s="11">
        <v>0</v>
      </c>
      <c r="L25" s="11">
        <v>65535</v>
      </c>
      <c r="M25" s="11" t="s">
        <v>79</v>
      </c>
      <c r="S25" s="6" t="s">
        <v>703</v>
      </c>
    </row>
    <row r="26" spans="1:19">
      <c r="A26" s="6" t="s">
        <v>704</v>
      </c>
      <c r="B26" s="6" t="s">
        <v>78</v>
      </c>
      <c r="C26" s="11">
        <v>1</v>
      </c>
      <c r="D26" s="17" t="s">
        <v>705</v>
      </c>
      <c r="E26" s="11" t="s">
        <v>45</v>
      </c>
      <c r="F26" s="11">
        <v>-10</v>
      </c>
      <c r="G26" s="11">
        <v>10</v>
      </c>
      <c r="H26" s="11" t="s">
        <v>94</v>
      </c>
      <c r="I26" s="11" t="s">
        <v>706</v>
      </c>
      <c r="J26" s="11" t="s">
        <v>45</v>
      </c>
      <c r="K26" s="11">
        <v>0</v>
      </c>
      <c r="L26" s="11">
        <v>18000</v>
      </c>
      <c r="M26" s="11" t="s">
        <v>235</v>
      </c>
      <c r="S26" s="6" t="s">
        <v>707</v>
      </c>
    </row>
    <row r="27" spans="1:19">
      <c r="A27" s="6" t="s">
        <v>708</v>
      </c>
      <c r="B27" s="6" t="s">
        <v>78</v>
      </c>
      <c r="C27" s="11">
        <v>1</v>
      </c>
      <c r="D27" s="11" t="s">
        <v>709</v>
      </c>
      <c r="E27" s="11" t="s">
        <v>45</v>
      </c>
      <c r="F27" s="11">
        <v>0</v>
      </c>
      <c r="G27" s="11">
        <v>1</v>
      </c>
      <c r="H27" s="11" t="s">
        <v>79</v>
      </c>
      <c r="I27" s="11" t="s">
        <v>710</v>
      </c>
      <c r="J27" s="11" t="s">
        <v>45</v>
      </c>
      <c r="K27" s="11">
        <v>0</v>
      </c>
      <c r="L27" s="11">
        <v>1600</v>
      </c>
      <c r="M27" s="11" t="s">
        <v>217</v>
      </c>
      <c r="S27" s="6" t="s">
        <v>711</v>
      </c>
    </row>
    <row r="28" ht="13.5" customHeight="1" spans="1:19">
      <c r="A28" s="6" t="s">
        <v>712</v>
      </c>
      <c r="B28" s="6" t="s">
        <v>78</v>
      </c>
      <c r="C28" s="11">
        <v>1</v>
      </c>
      <c r="D28" s="11" t="s">
        <v>713</v>
      </c>
      <c r="E28" s="11" t="s">
        <v>45</v>
      </c>
      <c r="F28" s="11">
        <v>0.5</v>
      </c>
      <c r="G28" s="11">
        <v>1.2</v>
      </c>
      <c r="H28" s="11" t="s">
        <v>79</v>
      </c>
      <c r="I28" s="11" t="s">
        <v>714</v>
      </c>
      <c r="J28" s="11" t="s">
        <v>45</v>
      </c>
      <c r="K28" s="11">
        <v>-40</v>
      </c>
      <c r="L28" s="11">
        <v>200</v>
      </c>
      <c r="M28" s="11" t="s">
        <v>354</v>
      </c>
      <c r="S28" s="6" t="s">
        <v>715</v>
      </c>
    </row>
    <row r="29" spans="1:19">
      <c r="A29" s="6" t="s">
        <v>716</v>
      </c>
      <c r="B29" s="6" t="s">
        <v>78</v>
      </c>
      <c r="C29" s="11">
        <v>1</v>
      </c>
      <c r="D29" s="11" t="s">
        <v>717</v>
      </c>
      <c r="E29" s="11" t="s">
        <v>45</v>
      </c>
      <c r="F29" s="11">
        <v>0</v>
      </c>
      <c r="G29" s="11">
        <v>1500</v>
      </c>
      <c r="H29" s="11" t="s">
        <v>79</v>
      </c>
      <c r="I29" s="11" t="s">
        <v>718</v>
      </c>
      <c r="J29" s="11" t="s">
        <v>45</v>
      </c>
      <c r="K29" s="11">
        <v>0</v>
      </c>
      <c r="L29" s="11">
        <v>2000</v>
      </c>
      <c r="M29" s="11" t="s">
        <v>217</v>
      </c>
      <c r="S29" s="6" t="s">
        <v>719</v>
      </c>
    </row>
    <row r="30" spans="1:19">
      <c r="A30" s="6" t="s">
        <v>720</v>
      </c>
      <c r="B30" s="6" t="s">
        <v>78</v>
      </c>
      <c r="C30" s="11">
        <v>1</v>
      </c>
      <c r="D30" s="11" t="s">
        <v>721</v>
      </c>
      <c r="E30" s="11" t="s">
        <v>45</v>
      </c>
      <c r="F30" s="11">
        <v>0.1</v>
      </c>
      <c r="G30" s="11">
        <v>200</v>
      </c>
      <c r="H30" s="11" t="s">
        <v>79</v>
      </c>
      <c r="I30" s="11" t="s">
        <v>718</v>
      </c>
      <c r="J30" s="11" t="s">
        <v>45</v>
      </c>
      <c r="K30" s="11">
        <v>0</v>
      </c>
      <c r="L30" s="11">
        <v>2000</v>
      </c>
      <c r="M30" s="11" t="s">
        <v>217</v>
      </c>
      <c r="S30" s="6" t="s">
        <v>722</v>
      </c>
    </row>
    <row r="31" ht="15" customHeight="1" spans="1:19">
      <c r="A31" s="6" t="s">
        <v>723</v>
      </c>
      <c r="B31" s="6" t="s">
        <v>78</v>
      </c>
      <c r="C31" s="11">
        <v>2</v>
      </c>
      <c r="D31" s="11" t="s">
        <v>724</v>
      </c>
      <c r="E31" s="11" t="s">
        <v>45</v>
      </c>
      <c r="F31" s="11">
        <v>-400</v>
      </c>
      <c r="G31" s="11">
        <v>0</v>
      </c>
      <c r="H31" s="11" t="s">
        <v>79</v>
      </c>
      <c r="I31" s="11" t="s">
        <v>725</v>
      </c>
      <c r="J31" s="11" t="s">
        <v>45</v>
      </c>
      <c r="K31" s="11">
        <v>0</v>
      </c>
      <c r="L31" s="11">
        <v>0.1</v>
      </c>
      <c r="M31" s="11" t="s">
        <v>79</v>
      </c>
      <c r="N31" s="11" t="s">
        <v>726</v>
      </c>
      <c r="O31" s="11" t="s">
        <v>45</v>
      </c>
      <c r="P31" s="11">
        <v>0</v>
      </c>
      <c r="Q31" s="11">
        <v>500</v>
      </c>
      <c r="R31" s="11" t="s">
        <v>94</v>
      </c>
      <c r="S31" s="6" t="s">
        <v>727</v>
      </c>
    </row>
    <row r="32" ht="13.5" customHeight="1" spans="1:19">
      <c r="A32" s="6" t="s">
        <v>728</v>
      </c>
      <c r="B32" s="6" t="s">
        <v>78</v>
      </c>
      <c r="C32" s="11">
        <v>2</v>
      </c>
      <c r="D32" s="18" t="s">
        <v>729</v>
      </c>
      <c r="E32" s="11" t="s">
        <v>45</v>
      </c>
      <c r="F32" s="11">
        <v>0</v>
      </c>
      <c r="G32" s="11">
        <v>1.1</v>
      </c>
      <c r="H32" s="11" t="s">
        <v>79</v>
      </c>
      <c r="I32" s="11" t="s">
        <v>730</v>
      </c>
      <c r="J32" s="11" t="s">
        <v>45</v>
      </c>
      <c r="K32" s="11">
        <v>-550</v>
      </c>
      <c r="L32" s="11">
        <v>550</v>
      </c>
      <c r="M32" s="11" t="s">
        <v>172</v>
      </c>
      <c r="N32" s="11" t="s">
        <v>731</v>
      </c>
      <c r="O32" s="11" t="s">
        <v>45</v>
      </c>
      <c r="P32" s="11">
        <v>-550</v>
      </c>
      <c r="Q32" s="11">
        <v>550</v>
      </c>
      <c r="R32" s="11" t="s">
        <v>172</v>
      </c>
      <c r="S32" s="6" t="s">
        <v>732</v>
      </c>
    </row>
    <row r="33" ht="13.5" customHeight="1" spans="1:19">
      <c r="A33" s="6" t="s">
        <v>733</v>
      </c>
      <c r="B33" s="6" t="s">
        <v>78</v>
      </c>
      <c r="C33" s="11">
        <v>2</v>
      </c>
      <c r="D33" s="18" t="s">
        <v>734</v>
      </c>
      <c r="E33" s="11" t="s">
        <v>45</v>
      </c>
      <c r="F33" s="11">
        <v>0</v>
      </c>
      <c r="G33" s="11">
        <v>1.1</v>
      </c>
      <c r="H33" s="11" t="s">
        <v>79</v>
      </c>
      <c r="I33" s="11" t="s">
        <v>730</v>
      </c>
      <c r="J33" s="11" t="s">
        <v>45</v>
      </c>
      <c r="K33" s="11">
        <v>-550</v>
      </c>
      <c r="L33" s="11">
        <v>550</v>
      </c>
      <c r="M33" s="11" t="s">
        <v>172</v>
      </c>
      <c r="N33" s="11" t="s">
        <v>731</v>
      </c>
      <c r="O33" s="11" t="s">
        <v>45</v>
      </c>
      <c r="P33" s="11">
        <v>-550</v>
      </c>
      <c r="Q33" s="11">
        <v>550</v>
      </c>
      <c r="R33" s="11" t="s">
        <v>172</v>
      </c>
      <c r="S33" s="6" t="s">
        <v>735</v>
      </c>
    </row>
    <row r="34" spans="1:19">
      <c r="A34" s="6" t="s">
        <v>736</v>
      </c>
      <c r="B34" s="6" t="s">
        <v>78</v>
      </c>
      <c r="C34" s="11">
        <v>1</v>
      </c>
      <c r="D34" s="11" t="s">
        <v>737</v>
      </c>
      <c r="E34" s="11" t="s">
        <v>45</v>
      </c>
      <c r="F34" s="11">
        <v>0</v>
      </c>
      <c r="G34" s="11">
        <v>1.1</v>
      </c>
      <c r="H34" s="11" t="s">
        <v>79</v>
      </c>
      <c r="I34" s="11" t="s">
        <v>730</v>
      </c>
      <c r="J34" s="11" t="s">
        <v>45</v>
      </c>
      <c r="K34" s="11">
        <v>-550</v>
      </c>
      <c r="L34" s="11">
        <v>550</v>
      </c>
      <c r="M34" s="11" t="s">
        <v>172</v>
      </c>
      <c r="S34" s="6" t="s">
        <v>738</v>
      </c>
    </row>
    <row r="35" ht="13.5" customHeight="1" spans="1:19">
      <c r="A35" s="6" t="s">
        <v>739</v>
      </c>
      <c r="B35" s="6" t="s">
        <v>78</v>
      </c>
      <c r="C35" s="11">
        <v>2</v>
      </c>
      <c r="D35" s="11" t="s">
        <v>740</v>
      </c>
      <c r="E35" s="11" t="s">
        <v>45</v>
      </c>
      <c r="F35" s="11">
        <v>0</v>
      </c>
      <c r="G35" s="11">
        <v>1.1</v>
      </c>
      <c r="H35" s="11" t="s">
        <v>79</v>
      </c>
      <c r="I35" s="11" t="s">
        <v>741</v>
      </c>
      <c r="J35" s="11" t="s">
        <v>45</v>
      </c>
      <c r="K35" s="11">
        <v>-550</v>
      </c>
      <c r="L35" s="11">
        <v>550</v>
      </c>
      <c r="M35" s="11" t="s">
        <v>172</v>
      </c>
      <c r="N35" s="11" t="s">
        <v>742</v>
      </c>
      <c r="O35" s="11" t="s">
        <v>45</v>
      </c>
      <c r="P35" s="11">
        <v>-550</v>
      </c>
      <c r="Q35" s="11">
        <v>550</v>
      </c>
      <c r="R35" s="11" t="s">
        <v>172</v>
      </c>
      <c r="S35" s="6" t="s">
        <v>732</v>
      </c>
    </row>
    <row r="36" ht="13.5" customHeight="1" spans="1:19">
      <c r="A36" s="6" t="s">
        <v>743</v>
      </c>
      <c r="B36" s="6" t="s">
        <v>78</v>
      </c>
      <c r="C36" s="11">
        <v>2</v>
      </c>
      <c r="D36" s="11" t="s">
        <v>744</v>
      </c>
      <c r="E36" s="11" t="s">
        <v>45</v>
      </c>
      <c r="F36" s="11">
        <v>0</v>
      </c>
      <c r="G36" s="11">
        <v>1.1</v>
      </c>
      <c r="H36" s="11" t="s">
        <v>79</v>
      </c>
      <c r="I36" s="11" t="s">
        <v>741</v>
      </c>
      <c r="J36" s="11" t="s">
        <v>45</v>
      </c>
      <c r="K36" s="11">
        <v>-550</v>
      </c>
      <c r="L36" s="11">
        <v>550</v>
      </c>
      <c r="M36" s="11" t="s">
        <v>172</v>
      </c>
      <c r="N36" s="11" t="s">
        <v>742</v>
      </c>
      <c r="O36" s="11" t="s">
        <v>45</v>
      </c>
      <c r="P36" s="11">
        <v>-550</v>
      </c>
      <c r="Q36" s="11">
        <v>550</v>
      </c>
      <c r="R36" s="11" t="s">
        <v>172</v>
      </c>
      <c r="S36" s="6" t="s">
        <v>735</v>
      </c>
    </row>
    <row r="37" spans="1:19">
      <c r="A37" s="6" t="s">
        <v>745</v>
      </c>
      <c r="B37" s="6" t="s">
        <v>78</v>
      </c>
      <c r="C37" s="11">
        <v>1</v>
      </c>
      <c r="D37" s="11" t="s">
        <v>746</v>
      </c>
      <c r="E37" s="11" t="s">
        <v>45</v>
      </c>
      <c r="F37" s="11">
        <v>0</v>
      </c>
      <c r="G37" s="11">
        <v>1.1</v>
      </c>
      <c r="H37" s="11" t="s">
        <v>79</v>
      </c>
      <c r="I37" s="11" t="s">
        <v>747</v>
      </c>
      <c r="J37" s="11" t="s">
        <v>45</v>
      </c>
      <c r="K37" s="11">
        <v>-550</v>
      </c>
      <c r="L37" s="11">
        <v>550</v>
      </c>
      <c r="M37" s="11" t="s">
        <v>172</v>
      </c>
      <c r="S37" s="6" t="s">
        <v>738</v>
      </c>
    </row>
    <row r="38" spans="1:19">
      <c r="A38" s="6" t="s">
        <v>748</v>
      </c>
      <c r="B38" s="6" t="s">
        <v>78</v>
      </c>
      <c r="C38" s="11">
        <v>2</v>
      </c>
      <c r="D38" s="11" t="s">
        <v>749</v>
      </c>
      <c r="E38" s="11" t="s">
        <v>45</v>
      </c>
      <c r="F38" s="11">
        <v>100</v>
      </c>
      <c r="G38" s="11">
        <v>500</v>
      </c>
      <c r="H38" s="11" t="s">
        <v>750</v>
      </c>
      <c r="I38" s="11" t="s">
        <v>751</v>
      </c>
      <c r="J38" s="11" t="s">
        <v>45</v>
      </c>
      <c r="K38" s="11">
        <v>0</v>
      </c>
      <c r="L38" s="11">
        <v>1.16</v>
      </c>
      <c r="M38" s="11" t="s">
        <v>79</v>
      </c>
      <c r="N38" s="11" t="s">
        <v>752</v>
      </c>
      <c r="O38" s="11" t="s">
        <v>45</v>
      </c>
      <c r="P38" s="11">
        <v>0</v>
      </c>
      <c r="Q38" s="11">
        <v>550</v>
      </c>
      <c r="R38" s="11" t="s">
        <v>172</v>
      </c>
      <c r="S38" s="6" t="s">
        <v>753</v>
      </c>
    </row>
    <row r="39" spans="1:19">
      <c r="A39" s="6" t="s">
        <v>754</v>
      </c>
      <c r="B39" s="6" t="s">
        <v>78</v>
      </c>
      <c r="C39" s="11">
        <v>2</v>
      </c>
      <c r="D39" s="11" t="s">
        <v>755</v>
      </c>
      <c r="E39" s="11" t="s">
        <v>45</v>
      </c>
      <c r="F39" s="11">
        <v>100</v>
      </c>
      <c r="G39" s="11">
        <v>500</v>
      </c>
      <c r="H39" s="11" t="s">
        <v>750</v>
      </c>
      <c r="I39" s="11" t="s">
        <v>756</v>
      </c>
      <c r="J39" s="11" t="s">
        <v>45</v>
      </c>
      <c r="K39" s="11">
        <v>0</v>
      </c>
      <c r="L39" s="11">
        <v>18000</v>
      </c>
      <c r="M39" s="11" t="s">
        <v>235</v>
      </c>
      <c r="N39" s="11" t="s">
        <v>752</v>
      </c>
      <c r="O39" s="11" t="s">
        <v>45</v>
      </c>
      <c r="P39" s="11">
        <v>0</v>
      </c>
      <c r="Q39" s="11">
        <v>550</v>
      </c>
      <c r="R39" s="11" t="s">
        <v>172</v>
      </c>
      <c r="S39" s="6" t="s">
        <v>757</v>
      </c>
    </row>
    <row r="40" spans="1:19">
      <c r="A40" s="6" t="s">
        <v>758</v>
      </c>
      <c r="B40" s="6" t="s">
        <v>78</v>
      </c>
      <c r="C40" s="11">
        <v>1</v>
      </c>
      <c r="D40" s="11" t="s">
        <v>759</v>
      </c>
      <c r="E40" s="11" t="s">
        <v>42</v>
      </c>
      <c r="F40" s="11">
        <v>-3000</v>
      </c>
      <c r="G40" s="11">
        <v>3000</v>
      </c>
      <c r="H40" s="11" t="s">
        <v>79</v>
      </c>
      <c r="I40" s="11" t="s">
        <v>760</v>
      </c>
      <c r="J40" s="11" t="s">
        <v>45</v>
      </c>
      <c r="K40" s="11">
        <v>-2000</v>
      </c>
      <c r="L40" s="11">
        <v>2000</v>
      </c>
      <c r="M40" s="11" t="s">
        <v>217</v>
      </c>
      <c r="S40" s="6" t="s">
        <v>761</v>
      </c>
    </row>
    <row r="41" ht="253" spans="1:19">
      <c r="A41" s="6" t="s">
        <v>762</v>
      </c>
      <c r="B41" s="6" t="s">
        <v>78</v>
      </c>
      <c r="C41" s="11">
        <v>2</v>
      </c>
      <c r="D41" s="18" t="s">
        <v>763</v>
      </c>
      <c r="E41" s="11" t="s">
        <v>45</v>
      </c>
      <c r="F41" s="11">
        <v>-450</v>
      </c>
      <c r="G41" s="11">
        <v>0</v>
      </c>
      <c r="H41" s="11" t="s">
        <v>172</v>
      </c>
      <c r="I41" s="11" t="s">
        <v>764</v>
      </c>
      <c r="J41" s="11" t="s">
        <v>45</v>
      </c>
      <c r="K41" s="11">
        <v>0</v>
      </c>
      <c r="L41" s="11">
        <v>400</v>
      </c>
      <c r="M41" s="11" t="s">
        <v>94</v>
      </c>
      <c r="N41" s="11" t="s">
        <v>765</v>
      </c>
      <c r="O41" s="11" t="s">
        <v>45</v>
      </c>
      <c r="P41" s="11">
        <v>-40</v>
      </c>
      <c r="Q41" s="11">
        <v>200</v>
      </c>
      <c r="R41" s="11" t="s">
        <v>354</v>
      </c>
      <c r="S41" s="6" t="s">
        <v>766</v>
      </c>
    </row>
    <row r="42" spans="1:19">
      <c r="A42" s="6" t="s">
        <v>767</v>
      </c>
      <c r="B42" s="6" t="s">
        <v>78</v>
      </c>
      <c r="C42" s="11">
        <v>1</v>
      </c>
      <c r="D42" s="11" t="s">
        <v>768</v>
      </c>
      <c r="E42" s="11" t="s">
        <v>45</v>
      </c>
      <c r="F42" s="11">
        <v>0</v>
      </c>
      <c r="G42" s="11">
        <v>1.15</v>
      </c>
      <c r="H42" s="11" t="s">
        <v>79</v>
      </c>
      <c r="I42" s="11" t="s">
        <v>769</v>
      </c>
      <c r="J42" s="11" t="s">
        <v>45</v>
      </c>
      <c r="K42" s="11">
        <v>0</v>
      </c>
      <c r="L42" s="11">
        <v>2000</v>
      </c>
      <c r="M42" s="11" t="s">
        <v>235</v>
      </c>
      <c r="S42" s="6" t="s">
        <v>770</v>
      </c>
    </row>
    <row r="43" spans="1:19">
      <c r="A43" s="6" t="s">
        <v>771</v>
      </c>
      <c r="B43" s="6" t="s">
        <v>78</v>
      </c>
      <c r="C43" s="11">
        <v>1</v>
      </c>
      <c r="D43" s="11" t="s">
        <v>772</v>
      </c>
      <c r="E43" s="11" t="s">
        <v>45</v>
      </c>
      <c r="F43" s="11">
        <v>0</v>
      </c>
      <c r="G43" s="11">
        <v>11</v>
      </c>
      <c r="H43" s="11" t="s">
        <v>79</v>
      </c>
      <c r="I43" s="11" t="s">
        <v>773</v>
      </c>
      <c r="J43" s="11" t="s">
        <v>45</v>
      </c>
      <c r="K43" s="11">
        <v>0</v>
      </c>
      <c r="L43" s="11">
        <v>2</v>
      </c>
      <c r="M43" s="11" t="s">
        <v>79</v>
      </c>
      <c r="S43" s="6" t="s">
        <v>774</v>
      </c>
    </row>
    <row r="44" spans="1:19">
      <c r="A44" s="6" t="s">
        <v>775</v>
      </c>
      <c r="B44" s="6" t="s">
        <v>78</v>
      </c>
      <c r="C44" s="11">
        <v>1</v>
      </c>
      <c r="D44" s="11" t="s">
        <v>776</v>
      </c>
      <c r="E44" s="11" t="s">
        <v>45</v>
      </c>
      <c r="F44" s="11">
        <v>0</v>
      </c>
      <c r="G44" s="11">
        <v>2</v>
      </c>
      <c r="H44" s="11" t="s">
        <v>750</v>
      </c>
      <c r="I44" s="11" t="s">
        <v>777</v>
      </c>
      <c r="J44" s="11" t="s">
        <v>45</v>
      </c>
      <c r="K44" s="11">
        <v>0</v>
      </c>
      <c r="L44" s="11">
        <v>1000</v>
      </c>
      <c r="M44" s="11" t="s">
        <v>172</v>
      </c>
      <c r="S44" s="6" t="s">
        <v>778</v>
      </c>
    </row>
    <row r="45" spans="1:19">
      <c r="A45" s="6" t="s">
        <v>779</v>
      </c>
      <c r="B45" s="6" t="s">
        <v>78</v>
      </c>
      <c r="C45" s="11">
        <v>1</v>
      </c>
      <c r="D45" s="11" t="s">
        <v>776</v>
      </c>
      <c r="E45" s="11" t="s">
        <v>45</v>
      </c>
      <c r="F45" s="11">
        <v>0</v>
      </c>
      <c r="G45" s="11">
        <v>2</v>
      </c>
      <c r="H45" s="11" t="s">
        <v>750</v>
      </c>
      <c r="I45" s="11" t="s">
        <v>777</v>
      </c>
      <c r="J45" s="11" t="s">
        <v>45</v>
      </c>
      <c r="K45" s="11">
        <v>0</v>
      </c>
      <c r="L45" s="11">
        <v>1000</v>
      </c>
      <c r="M45" s="11" t="s">
        <v>172</v>
      </c>
      <c r="S45" s="6" t="s">
        <v>778</v>
      </c>
    </row>
    <row r="46" spans="1:19">
      <c r="A46" s="6" t="s">
        <v>780</v>
      </c>
      <c r="B46" s="6" t="s">
        <v>78</v>
      </c>
      <c r="C46" s="11">
        <v>1</v>
      </c>
      <c r="D46" s="11" t="s">
        <v>776</v>
      </c>
      <c r="E46" s="11" t="s">
        <v>45</v>
      </c>
      <c r="F46" s="11">
        <v>0</v>
      </c>
      <c r="G46" s="11">
        <v>2</v>
      </c>
      <c r="H46" s="11" t="s">
        <v>750</v>
      </c>
      <c r="I46" s="11" t="s">
        <v>777</v>
      </c>
      <c r="J46" s="11" t="s">
        <v>45</v>
      </c>
      <c r="K46" s="11">
        <v>0</v>
      </c>
      <c r="L46" s="11">
        <v>1000</v>
      </c>
      <c r="M46" s="11" t="s">
        <v>172</v>
      </c>
      <c r="S46" s="6" t="s">
        <v>778</v>
      </c>
    </row>
    <row r="47" spans="1:19">
      <c r="A47" s="6" t="s">
        <v>781</v>
      </c>
      <c r="B47" s="6" t="s">
        <v>78</v>
      </c>
      <c r="C47" s="11">
        <v>1</v>
      </c>
      <c r="D47" s="11" t="s">
        <v>782</v>
      </c>
      <c r="E47" s="11" t="s">
        <v>45</v>
      </c>
      <c r="F47" s="11">
        <v>0</v>
      </c>
      <c r="G47" s="11">
        <v>3</v>
      </c>
      <c r="H47" s="11" t="s">
        <v>750</v>
      </c>
      <c r="I47" s="11" t="s">
        <v>777</v>
      </c>
      <c r="J47" s="11" t="s">
        <v>45</v>
      </c>
      <c r="K47" s="11">
        <v>0</v>
      </c>
      <c r="L47" s="11">
        <v>1000</v>
      </c>
      <c r="M47" s="11" t="s">
        <v>172</v>
      </c>
      <c r="S47" s="6" t="s">
        <v>778</v>
      </c>
    </row>
    <row r="48" spans="1:19">
      <c r="A48" s="6" t="s">
        <v>783</v>
      </c>
      <c r="B48" s="6" t="s">
        <v>78</v>
      </c>
      <c r="C48" s="11">
        <v>1</v>
      </c>
      <c r="D48" s="11" t="s">
        <v>782</v>
      </c>
      <c r="E48" s="11" t="s">
        <v>45</v>
      </c>
      <c r="F48" s="11">
        <v>0</v>
      </c>
      <c r="G48" s="11">
        <v>3</v>
      </c>
      <c r="H48" s="11" t="s">
        <v>750</v>
      </c>
      <c r="I48" s="11" t="s">
        <v>777</v>
      </c>
      <c r="J48" s="11" t="s">
        <v>45</v>
      </c>
      <c r="K48" s="11">
        <v>0</v>
      </c>
      <c r="L48" s="11">
        <v>1000</v>
      </c>
      <c r="M48" s="11" t="s">
        <v>172</v>
      </c>
      <c r="S48" s="6" t="s">
        <v>778</v>
      </c>
    </row>
    <row r="49" spans="1:19">
      <c r="A49" s="6" t="s">
        <v>784</v>
      </c>
      <c r="B49" s="6" t="s">
        <v>78</v>
      </c>
      <c r="C49" s="11">
        <v>1</v>
      </c>
      <c r="D49" s="11" t="s">
        <v>782</v>
      </c>
      <c r="E49" s="11" t="s">
        <v>45</v>
      </c>
      <c r="F49" s="11">
        <v>0</v>
      </c>
      <c r="G49" s="11">
        <v>3</v>
      </c>
      <c r="H49" s="11" t="s">
        <v>750</v>
      </c>
      <c r="I49" s="11" t="s">
        <v>777</v>
      </c>
      <c r="J49" s="11" t="s">
        <v>45</v>
      </c>
      <c r="K49" s="11">
        <v>0</v>
      </c>
      <c r="L49" s="11">
        <v>1000</v>
      </c>
      <c r="M49" s="11" t="s">
        <v>172</v>
      </c>
      <c r="S49" s="6" t="s">
        <v>778</v>
      </c>
    </row>
  </sheetData>
  <dataValidations count="3">
    <dataValidation type="list" allowBlank="1" showInputMessage="1" showErrorMessage="1" sqref="B$1:B$1048576">
      <formula1>Comment!$B$9</formula1>
    </dataValidation>
    <dataValidation type="list" allowBlank="1" showInputMessage="1" showErrorMessage="1" sqref="E$1:E$1048576">
      <formula1>DataTypeDefinition!$A$2:$A$50</formula1>
    </dataValidation>
    <dataValidation type="list" allowBlank="1" showInputMessage="1" showErrorMessage="1" sqref="J$1:J$1048576 O$1:O$1048576">
      <formula1>$A$2:$A$58</formula1>
    </dataValidation>
  </dataValidations>
  <pageMargins left="0.699305555555556" right="0.699305555555556" top="0.75" bottom="0.75" header="0.3" footer="0.3"/>
  <pageSetup paperSize="9" orientation="portrait"/>
  <headerFooter/>
  <legacyDrawing r:id="rId2"/>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O290"/>
  <sheetViews>
    <sheetView workbookViewId="0">
      <pane ySplit="1" topLeftCell="A267" activePane="bottomLeft" state="frozen"/>
      <selection/>
      <selection pane="bottomLeft" activeCell="H282" sqref="H282"/>
    </sheetView>
  </sheetViews>
  <sheetFormatPr defaultColWidth="9" defaultRowHeight="11.5"/>
  <cols>
    <col min="1" max="1" width="23" style="6" customWidth="1"/>
    <col min="2" max="2" width="12.1272727272727" style="6" customWidth="1"/>
    <col min="3" max="3" width="16.6272727272727" style="6" customWidth="1"/>
    <col min="4" max="4" width="8.62727272727273" style="11" customWidth="1"/>
    <col min="5" max="5" width="9.25454545454545" style="11" customWidth="1"/>
    <col min="6" max="6" width="7.5" style="11" customWidth="1"/>
    <col min="7" max="7" width="9.37272727272727" style="11" customWidth="1"/>
    <col min="8" max="8" width="7.37272727272727" style="11" customWidth="1"/>
    <col min="9" max="9" width="8.12727272727273" style="11" customWidth="1"/>
    <col min="10" max="10" width="7.37272727272727" style="11" customWidth="1"/>
    <col min="11" max="11" width="8.87272727272727" style="11" customWidth="1"/>
    <col min="12" max="12" width="4.62727272727273" style="11" customWidth="1"/>
    <col min="13" max="13" width="12.1272727272727" style="6" customWidth="1"/>
    <col min="14" max="14" width="35.2545454545455" style="6" customWidth="1"/>
    <col min="15" max="16384" width="9" style="11"/>
  </cols>
  <sheetData>
    <row r="1" s="4" customFormat="1" spans="1:15">
      <c r="A1" s="5" t="s">
        <v>69</v>
      </c>
      <c r="B1" s="5" t="s">
        <v>26</v>
      </c>
      <c r="C1" s="4" t="s">
        <v>71</v>
      </c>
      <c r="D1" s="4" t="s">
        <v>785</v>
      </c>
      <c r="E1" s="4" t="s">
        <v>786</v>
      </c>
      <c r="F1" s="4" t="s">
        <v>787</v>
      </c>
      <c r="G1" s="4" t="s">
        <v>788</v>
      </c>
      <c r="H1" s="4" t="s">
        <v>787</v>
      </c>
      <c r="I1" s="4" t="s">
        <v>33</v>
      </c>
      <c r="J1" s="4" t="s">
        <v>34</v>
      </c>
      <c r="K1" s="4" t="s">
        <v>789</v>
      </c>
      <c r="L1" s="4" t="s">
        <v>72</v>
      </c>
      <c r="M1" s="5" t="s">
        <v>73</v>
      </c>
      <c r="N1" s="5" t="s">
        <v>11</v>
      </c>
      <c r="O1" s="4" t="s">
        <v>790</v>
      </c>
    </row>
    <row r="2" spans="1:15">
      <c r="A2" s="6" t="s">
        <v>791</v>
      </c>
      <c r="B2" s="6" t="s">
        <v>792</v>
      </c>
      <c r="C2" s="6" t="s">
        <v>46</v>
      </c>
      <c r="D2" s="11" t="s">
        <v>793</v>
      </c>
      <c r="E2" s="11">
        <v>1</v>
      </c>
      <c r="F2" s="11" t="s">
        <v>794</v>
      </c>
      <c r="G2" s="11">
        <v>-1</v>
      </c>
      <c r="H2" s="11" t="s">
        <v>794</v>
      </c>
      <c r="I2" s="11">
        <v>0</v>
      </c>
      <c r="J2" s="11">
        <v>1</v>
      </c>
      <c r="K2" s="11">
        <v>0</v>
      </c>
      <c r="L2" s="11" t="s">
        <v>79</v>
      </c>
      <c r="M2" s="14" t="s">
        <v>795</v>
      </c>
      <c r="N2" s="6" t="s">
        <v>796</v>
      </c>
      <c r="O2" s="11" t="str">
        <f t="shared" ref="O2:O18" si="0">MID(A2,1,3)</f>
        <v>SAQ</v>
      </c>
    </row>
    <row r="3" spans="1:15">
      <c r="A3" s="6" t="s">
        <v>797</v>
      </c>
      <c r="B3" s="6" t="s">
        <v>792</v>
      </c>
      <c r="C3" s="6" t="s">
        <v>46</v>
      </c>
      <c r="D3" s="11" t="s">
        <v>793</v>
      </c>
      <c r="E3" s="11">
        <v>1</v>
      </c>
      <c r="F3" s="11" t="s">
        <v>794</v>
      </c>
      <c r="G3" s="11">
        <v>-1</v>
      </c>
      <c r="H3" s="11" t="s">
        <v>794</v>
      </c>
      <c r="I3" s="11">
        <v>0</v>
      </c>
      <c r="J3" s="11">
        <v>1</v>
      </c>
      <c r="K3" s="11">
        <v>0</v>
      </c>
      <c r="L3" s="11" t="s">
        <v>79</v>
      </c>
      <c r="M3" s="6" t="s">
        <v>795</v>
      </c>
      <c r="N3" s="6" t="s">
        <v>798</v>
      </c>
      <c r="O3" s="11" t="str">
        <f t="shared" si="0"/>
        <v>SAQ</v>
      </c>
    </row>
    <row r="4" spans="1:15">
      <c r="A4" s="6" t="s">
        <v>799</v>
      </c>
      <c r="B4" s="6" t="s">
        <v>792</v>
      </c>
      <c r="C4" s="6" t="s">
        <v>46</v>
      </c>
      <c r="D4" s="11" t="s">
        <v>793</v>
      </c>
      <c r="E4" s="11">
        <v>1</v>
      </c>
      <c r="F4" s="11" t="s">
        <v>794</v>
      </c>
      <c r="G4" s="11">
        <v>-1</v>
      </c>
      <c r="H4" s="11" t="s">
        <v>794</v>
      </c>
      <c r="I4" s="11">
        <v>0</v>
      </c>
      <c r="J4" s="11">
        <v>1</v>
      </c>
      <c r="K4" s="11">
        <v>0</v>
      </c>
      <c r="L4" s="11" t="s">
        <v>79</v>
      </c>
      <c r="M4" s="6" t="s">
        <v>795</v>
      </c>
      <c r="N4" s="6" t="s">
        <v>800</v>
      </c>
      <c r="O4" s="11" t="str">
        <f t="shared" si="0"/>
        <v>SAQ</v>
      </c>
    </row>
    <row r="5" spans="1:15">
      <c r="A5" s="6" t="s">
        <v>801</v>
      </c>
      <c r="B5" s="6" t="s">
        <v>792</v>
      </c>
      <c r="C5" s="6" t="s">
        <v>46</v>
      </c>
      <c r="D5" s="11" t="s">
        <v>793</v>
      </c>
      <c r="E5" s="11">
        <v>1</v>
      </c>
      <c r="F5" s="11" t="s">
        <v>794</v>
      </c>
      <c r="G5" s="11">
        <v>-1</v>
      </c>
      <c r="H5" s="11" t="s">
        <v>794</v>
      </c>
      <c r="I5" s="11">
        <v>0</v>
      </c>
      <c r="J5" s="11">
        <v>1</v>
      </c>
      <c r="K5" s="11">
        <v>0</v>
      </c>
      <c r="L5" s="11" t="s">
        <v>79</v>
      </c>
      <c r="M5" s="6" t="s">
        <v>795</v>
      </c>
      <c r="N5" s="6" t="s">
        <v>802</v>
      </c>
      <c r="O5" s="11" t="str">
        <f t="shared" si="0"/>
        <v>SAQ</v>
      </c>
    </row>
    <row r="6" spans="1:15">
      <c r="A6" s="6" t="s">
        <v>803</v>
      </c>
      <c r="B6" s="6" t="s">
        <v>792</v>
      </c>
      <c r="C6" s="6" t="s">
        <v>46</v>
      </c>
      <c r="D6" s="11" t="s">
        <v>793</v>
      </c>
      <c r="E6" s="11">
        <v>1</v>
      </c>
      <c r="F6" s="11" t="s">
        <v>794</v>
      </c>
      <c r="G6" s="11">
        <v>-1</v>
      </c>
      <c r="H6" s="11" t="s">
        <v>794</v>
      </c>
      <c r="I6" s="11">
        <v>0</v>
      </c>
      <c r="J6" s="11">
        <v>1</v>
      </c>
      <c r="K6" s="11">
        <v>0</v>
      </c>
      <c r="L6" s="11" t="s">
        <v>79</v>
      </c>
      <c r="M6" s="6" t="s">
        <v>795</v>
      </c>
      <c r="N6" s="6" t="s">
        <v>804</v>
      </c>
      <c r="O6" s="11" t="str">
        <f t="shared" si="0"/>
        <v>SAQ</v>
      </c>
    </row>
    <row r="7" spans="1:15">
      <c r="A7" s="6" t="s">
        <v>805</v>
      </c>
      <c r="B7" s="6" t="s">
        <v>792</v>
      </c>
      <c r="C7" s="6" t="s">
        <v>46</v>
      </c>
      <c r="D7" s="11" t="s">
        <v>793</v>
      </c>
      <c r="E7" s="11">
        <v>1</v>
      </c>
      <c r="F7" s="11" t="s">
        <v>794</v>
      </c>
      <c r="G7" s="11">
        <v>-1</v>
      </c>
      <c r="H7" s="11" t="s">
        <v>794</v>
      </c>
      <c r="I7" s="11">
        <v>0</v>
      </c>
      <c r="J7" s="11">
        <v>1</v>
      </c>
      <c r="K7" s="11">
        <v>0</v>
      </c>
      <c r="L7" s="11" t="s">
        <v>79</v>
      </c>
      <c r="M7" s="6" t="s">
        <v>795</v>
      </c>
      <c r="N7" s="6" t="s">
        <v>806</v>
      </c>
      <c r="O7" s="11" t="str">
        <f t="shared" si="0"/>
        <v>SAQ</v>
      </c>
    </row>
    <row r="8" spans="1:15">
      <c r="A8" s="6" t="s">
        <v>807</v>
      </c>
      <c r="B8" s="6" t="s">
        <v>792</v>
      </c>
      <c r="C8" s="6" t="s">
        <v>46</v>
      </c>
      <c r="D8" s="11" t="s">
        <v>793</v>
      </c>
      <c r="E8" s="11">
        <v>1</v>
      </c>
      <c r="F8" s="11" t="s">
        <v>794</v>
      </c>
      <c r="G8" s="11">
        <v>-1</v>
      </c>
      <c r="H8" s="11" t="s">
        <v>794</v>
      </c>
      <c r="I8" s="11">
        <v>0</v>
      </c>
      <c r="J8" s="11">
        <v>1</v>
      </c>
      <c r="K8" s="11">
        <v>0</v>
      </c>
      <c r="L8" s="11" t="s">
        <v>79</v>
      </c>
      <c r="M8" s="6" t="s">
        <v>795</v>
      </c>
      <c r="N8" s="6" t="s">
        <v>808</v>
      </c>
      <c r="O8" s="11" t="str">
        <f t="shared" si="0"/>
        <v>SAQ</v>
      </c>
    </row>
    <row r="9" spans="1:15">
      <c r="A9" s="6" t="s">
        <v>809</v>
      </c>
      <c r="B9" s="6" t="s">
        <v>792</v>
      </c>
      <c r="C9" s="6" t="s">
        <v>46</v>
      </c>
      <c r="D9" s="11" t="s">
        <v>793</v>
      </c>
      <c r="E9" s="11">
        <v>1</v>
      </c>
      <c r="F9" s="11" t="s">
        <v>794</v>
      </c>
      <c r="G9" s="11">
        <v>-1</v>
      </c>
      <c r="H9" s="11" t="s">
        <v>794</v>
      </c>
      <c r="I9" s="11">
        <v>0</v>
      </c>
      <c r="J9" s="11">
        <v>1</v>
      </c>
      <c r="K9" s="11">
        <v>0</v>
      </c>
      <c r="L9" s="11" t="s">
        <v>79</v>
      </c>
      <c r="M9" s="6" t="s">
        <v>795</v>
      </c>
      <c r="N9" s="6" t="s">
        <v>808</v>
      </c>
      <c r="O9" s="11" t="str">
        <f t="shared" si="0"/>
        <v>SAQ</v>
      </c>
    </row>
    <row r="10" spans="1:15">
      <c r="A10" s="6" t="s">
        <v>810</v>
      </c>
      <c r="B10" s="6" t="s">
        <v>792</v>
      </c>
      <c r="C10" s="6" t="s">
        <v>46</v>
      </c>
      <c r="D10" s="11" t="s">
        <v>793</v>
      </c>
      <c r="E10" s="11">
        <v>1</v>
      </c>
      <c r="F10" s="11" t="s">
        <v>794</v>
      </c>
      <c r="G10" s="11">
        <v>-1</v>
      </c>
      <c r="H10" s="11" t="s">
        <v>794</v>
      </c>
      <c r="I10" s="11">
        <v>0</v>
      </c>
      <c r="J10" s="11">
        <v>1</v>
      </c>
      <c r="K10" s="11">
        <v>0</v>
      </c>
      <c r="L10" s="11" t="s">
        <v>79</v>
      </c>
      <c r="M10" s="6" t="s">
        <v>795</v>
      </c>
      <c r="N10" s="6" t="s">
        <v>811</v>
      </c>
      <c r="O10" s="11" t="str">
        <f t="shared" ref="O10" si="1">MID(A10,1,3)</f>
        <v>SAQ</v>
      </c>
    </row>
    <row r="11" spans="1:15">
      <c r="A11" s="6" t="s">
        <v>812</v>
      </c>
      <c r="B11" s="6" t="s">
        <v>792</v>
      </c>
      <c r="C11" s="6" t="s">
        <v>52</v>
      </c>
      <c r="D11" s="11" t="s">
        <v>793</v>
      </c>
      <c r="E11" s="11">
        <v>1</v>
      </c>
      <c r="F11" s="11" t="s">
        <v>794</v>
      </c>
      <c r="G11" s="11">
        <v>-1</v>
      </c>
      <c r="H11" s="11" t="s">
        <v>794</v>
      </c>
      <c r="I11" s="11" t="s">
        <v>813</v>
      </c>
      <c r="J11" s="11" t="s">
        <v>813</v>
      </c>
      <c r="K11" s="11" t="s">
        <v>814</v>
      </c>
      <c r="L11" s="11" t="s">
        <v>79</v>
      </c>
      <c r="M11" s="6" t="s">
        <v>795</v>
      </c>
      <c r="N11" s="6" t="s">
        <v>815</v>
      </c>
      <c r="O11" s="11" t="str">
        <f t="shared" si="0"/>
        <v>SAQ</v>
      </c>
    </row>
    <row r="12" spans="1:15">
      <c r="A12" s="6" t="s">
        <v>816</v>
      </c>
      <c r="B12" s="6" t="s">
        <v>792</v>
      </c>
      <c r="C12" s="6" t="s">
        <v>52</v>
      </c>
      <c r="D12" s="11" t="s">
        <v>793</v>
      </c>
      <c r="E12" s="11">
        <v>1</v>
      </c>
      <c r="F12" s="11" t="s">
        <v>794</v>
      </c>
      <c r="G12" s="11">
        <v>-1</v>
      </c>
      <c r="H12" s="11" t="s">
        <v>794</v>
      </c>
      <c r="I12" s="11" t="s">
        <v>813</v>
      </c>
      <c r="J12" s="11" t="s">
        <v>813</v>
      </c>
      <c r="K12" s="11" t="s">
        <v>814</v>
      </c>
      <c r="L12" s="11" t="s">
        <v>79</v>
      </c>
      <c r="M12" s="6" t="s">
        <v>795</v>
      </c>
      <c r="N12" s="6" t="s">
        <v>815</v>
      </c>
      <c r="O12" s="11" t="str">
        <f t="shared" si="0"/>
        <v>SAQ</v>
      </c>
    </row>
    <row r="13" spans="1:15">
      <c r="A13" s="6" t="s">
        <v>817</v>
      </c>
      <c r="B13" s="6" t="s">
        <v>792</v>
      </c>
      <c r="C13" s="6" t="s">
        <v>52</v>
      </c>
      <c r="D13" s="11" t="s">
        <v>793</v>
      </c>
      <c r="E13" s="11">
        <v>1</v>
      </c>
      <c r="F13" s="11" t="s">
        <v>794</v>
      </c>
      <c r="G13" s="11">
        <v>-1</v>
      </c>
      <c r="H13" s="11" t="s">
        <v>794</v>
      </c>
      <c r="I13" s="11" t="s">
        <v>813</v>
      </c>
      <c r="J13" s="11" t="s">
        <v>813</v>
      </c>
      <c r="K13" s="11" t="s">
        <v>814</v>
      </c>
      <c r="L13" s="11" t="s">
        <v>79</v>
      </c>
      <c r="M13" s="6" t="s">
        <v>795</v>
      </c>
      <c r="N13" s="6" t="s">
        <v>815</v>
      </c>
      <c r="O13" s="11" t="str">
        <f t="shared" si="0"/>
        <v>SAQ</v>
      </c>
    </row>
    <row r="14" spans="1:15">
      <c r="A14" s="6" t="s">
        <v>818</v>
      </c>
      <c r="B14" s="6" t="s">
        <v>792</v>
      </c>
      <c r="C14" s="6" t="s">
        <v>52</v>
      </c>
      <c r="D14" s="11" t="s">
        <v>793</v>
      </c>
      <c r="E14" s="11">
        <v>1</v>
      </c>
      <c r="F14" s="11" t="s">
        <v>794</v>
      </c>
      <c r="G14" s="11">
        <v>-1</v>
      </c>
      <c r="H14" s="11" t="s">
        <v>794</v>
      </c>
      <c r="I14" s="11" t="s">
        <v>813</v>
      </c>
      <c r="J14" s="11" t="s">
        <v>813</v>
      </c>
      <c r="K14" s="11" t="s">
        <v>814</v>
      </c>
      <c r="L14" s="11" t="s">
        <v>79</v>
      </c>
      <c r="M14" s="6" t="s">
        <v>795</v>
      </c>
      <c r="N14" s="6" t="s">
        <v>815</v>
      </c>
      <c r="O14" s="11" t="str">
        <f t="shared" si="0"/>
        <v>SAQ</v>
      </c>
    </row>
    <row r="15" spans="1:15">
      <c r="A15" s="6" t="s">
        <v>819</v>
      </c>
      <c r="B15" s="6" t="s">
        <v>792</v>
      </c>
      <c r="C15" s="6" t="s">
        <v>52</v>
      </c>
      <c r="D15" s="11" t="s">
        <v>793</v>
      </c>
      <c r="E15" s="11">
        <v>1</v>
      </c>
      <c r="F15" s="11" t="s">
        <v>794</v>
      </c>
      <c r="G15" s="11">
        <v>-1</v>
      </c>
      <c r="H15" s="11" t="s">
        <v>794</v>
      </c>
      <c r="I15" s="11" t="s">
        <v>813</v>
      </c>
      <c r="J15" s="11" t="s">
        <v>813</v>
      </c>
      <c r="K15" s="11" t="s">
        <v>814</v>
      </c>
      <c r="L15" s="11" t="s">
        <v>79</v>
      </c>
      <c r="M15" s="6" t="s">
        <v>795</v>
      </c>
      <c r="N15" s="6" t="s">
        <v>815</v>
      </c>
      <c r="O15" s="11" t="str">
        <f t="shared" si="0"/>
        <v>SAQ</v>
      </c>
    </row>
    <row r="16" spans="1:15">
      <c r="A16" s="6" t="s">
        <v>820</v>
      </c>
      <c r="B16" s="6" t="s">
        <v>792</v>
      </c>
      <c r="C16" s="6" t="s">
        <v>52</v>
      </c>
      <c r="D16" s="11" t="s">
        <v>793</v>
      </c>
      <c r="E16" s="11">
        <v>1</v>
      </c>
      <c r="F16" s="11" t="s">
        <v>794</v>
      </c>
      <c r="G16" s="11">
        <v>-1</v>
      </c>
      <c r="H16" s="11" t="s">
        <v>794</v>
      </c>
      <c r="I16" s="11" t="s">
        <v>813</v>
      </c>
      <c r="J16" s="11" t="s">
        <v>813</v>
      </c>
      <c r="K16" s="11" t="s">
        <v>814</v>
      </c>
      <c r="L16" s="11" t="s">
        <v>79</v>
      </c>
      <c r="M16" s="6" t="s">
        <v>795</v>
      </c>
      <c r="N16" s="6" t="s">
        <v>815</v>
      </c>
      <c r="O16" s="11" t="str">
        <f t="shared" si="0"/>
        <v>SAQ</v>
      </c>
    </row>
    <row r="17" spans="1:15">
      <c r="A17" s="6" t="s">
        <v>821</v>
      </c>
      <c r="B17" s="6" t="s">
        <v>792</v>
      </c>
      <c r="C17" s="6" t="s">
        <v>45</v>
      </c>
      <c r="D17" s="11" t="s">
        <v>793</v>
      </c>
      <c r="E17" s="11">
        <v>1</v>
      </c>
      <c r="F17" s="11" t="s">
        <v>794</v>
      </c>
      <c r="G17" s="11">
        <v>-1</v>
      </c>
      <c r="H17" s="11" t="s">
        <v>794</v>
      </c>
      <c r="I17" s="11">
        <v>-1.1</v>
      </c>
      <c r="J17" s="11">
        <v>1.1</v>
      </c>
      <c r="K17" s="11">
        <v>0</v>
      </c>
      <c r="L17" s="11" t="s">
        <v>822</v>
      </c>
      <c r="M17" s="6" t="s">
        <v>795</v>
      </c>
      <c r="N17" s="6" t="s">
        <v>823</v>
      </c>
      <c r="O17" s="11" t="str">
        <f t="shared" si="0"/>
        <v>SAQ</v>
      </c>
    </row>
    <row r="18" spans="1:15">
      <c r="A18" s="6" t="s">
        <v>824</v>
      </c>
      <c r="B18" s="6" t="s">
        <v>792</v>
      </c>
      <c r="C18" s="6" t="s">
        <v>45</v>
      </c>
      <c r="D18" s="11" t="s">
        <v>793</v>
      </c>
      <c r="E18" s="11">
        <v>1</v>
      </c>
      <c r="F18" s="11" t="s">
        <v>794</v>
      </c>
      <c r="G18" s="11">
        <v>-1</v>
      </c>
      <c r="H18" s="11" t="s">
        <v>794</v>
      </c>
      <c r="I18" s="11">
        <v>-1.1</v>
      </c>
      <c r="J18" s="11">
        <v>1.1</v>
      </c>
      <c r="K18" s="11">
        <v>0</v>
      </c>
      <c r="L18" s="11" t="s">
        <v>822</v>
      </c>
      <c r="M18" s="6" t="s">
        <v>795</v>
      </c>
      <c r="N18" s="6" t="s">
        <v>825</v>
      </c>
      <c r="O18" s="11" t="str">
        <f t="shared" si="0"/>
        <v>SAQ</v>
      </c>
    </row>
    <row r="19" spans="1:15">
      <c r="A19" s="6" t="s">
        <v>826</v>
      </c>
      <c r="B19" s="6" t="s">
        <v>792</v>
      </c>
      <c r="C19" s="6" t="s">
        <v>45</v>
      </c>
      <c r="D19" s="11" t="s">
        <v>793</v>
      </c>
      <c r="E19" s="11">
        <v>1</v>
      </c>
      <c r="F19" s="11" t="s">
        <v>794</v>
      </c>
      <c r="G19" s="11">
        <v>-1</v>
      </c>
      <c r="H19" s="11" t="s">
        <v>794</v>
      </c>
      <c r="I19" s="11">
        <v>-1.1</v>
      </c>
      <c r="J19" s="11">
        <v>1.1</v>
      </c>
      <c r="K19" s="11">
        <v>0</v>
      </c>
      <c r="L19" s="11" t="s">
        <v>822</v>
      </c>
      <c r="M19" s="6" t="s">
        <v>795</v>
      </c>
      <c r="N19" s="6" t="s">
        <v>827</v>
      </c>
      <c r="O19" s="11" t="str">
        <f t="shared" ref="O19:O29" si="2">MID(A19,1,3)</f>
        <v>SAQ</v>
      </c>
    </row>
    <row r="20" spans="1:15">
      <c r="A20" s="6" t="s">
        <v>828</v>
      </c>
      <c r="B20" s="6" t="s">
        <v>792</v>
      </c>
      <c r="C20" s="6" t="s">
        <v>41</v>
      </c>
      <c r="D20" s="11" t="s">
        <v>793</v>
      </c>
      <c r="E20" s="11">
        <v>1</v>
      </c>
      <c r="F20" s="11" t="s">
        <v>794</v>
      </c>
      <c r="G20" s="11">
        <v>-1</v>
      </c>
      <c r="H20" s="11" t="s">
        <v>794</v>
      </c>
      <c r="I20" s="11">
        <v>0</v>
      </c>
      <c r="J20" s="11">
        <v>65535</v>
      </c>
      <c r="K20" s="11">
        <v>0</v>
      </c>
      <c r="L20" s="11" t="s">
        <v>79</v>
      </c>
      <c r="M20" s="6" t="s">
        <v>795</v>
      </c>
      <c r="N20" s="6" t="s">
        <v>829</v>
      </c>
      <c r="O20" s="11" t="str">
        <f t="shared" si="2"/>
        <v>SAQ</v>
      </c>
    </row>
    <row r="21" spans="1:15">
      <c r="A21" s="6" t="s">
        <v>830</v>
      </c>
      <c r="B21" s="6" t="s">
        <v>792</v>
      </c>
      <c r="C21" s="6" t="s">
        <v>41</v>
      </c>
      <c r="D21" s="11" t="s">
        <v>793</v>
      </c>
      <c r="E21" s="11">
        <v>1</v>
      </c>
      <c r="F21" s="11" t="s">
        <v>794</v>
      </c>
      <c r="G21" s="11">
        <v>-1</v>
      </c>
      <c r="H21" s="11" t="s">
        <v>794</v>
      </c>
      <c r="I21" s="11">
        <v>0</v>
      </c>
      <c r="J21" s="11">
        <v>255</v>
      </c>
      <c r="K21" s="11">
        <v>0</v>
      </c>
      <c r="L21" s="11" t="s">
        <v>822</v>
      </c>
      <c r="M21" s="6" t="s">
        <v>795</v>
      </c>
      <c r="N21" s="6" t="s">
        <v>831</v>
      </c>
      <c r="O21" s="11" t="str">
        <f t="shared" ref="O21:O23" si="3">MID(A21,1,3)</f>
        <v>SAQ</v>
      </c>
    </row>
    <row r="22" spans="1:15">
      <c r="A22" s="6" t="s">
        <v>832</v>
      </c>
      <c r="B22" s="6" t="s">
        <v>792</v>
      </c>
      <c r="C22" s="6" t="s">
        <v>41</v>
      </c>
      <c r="D22" s="11" t="s">
        <v>793</v>
      </c>
      <c r="E22" s="11">
        <v>1</v>
      </c>
      <c r="F22" s="11" t="s">
        <v>794</v>
      </c>
      <c r="G22" s="11">
        <v>-1</v>
      </c>
      <c r="H22" s="11" t="s">
        <v>794</v>
      </c>
      <c r="I22" s="11">
        <v>0</v>
      </c>
      <c r="J22" s="11">
        <v>255</v>
      </c>
      <c r="K22" s="11">
        <v>0</v>
      </c>
      <c r="L22" s="11" t="s">
        <v>822</v>
      </c>
      <c r="M22" s="6" t="s">
        <v>795</v>
      </c>
      <c r="N22" s="6" t="s">
        <v>831</v>
      </c>
      <c r="O22" s="11" t="str">
        <f t="shared" si="3"/>
        <v>SAQ</v>
      </c>
    </row>
    <row r="23" spans="1:15">
      <c r="A23" s="6" t="s">
        <v>833</v>
      </c>
      <c r="B23" s="6" t="s">
        <v>792</v>
      </c>
      <c r="C23" s="6" t="s">
        <v>41</v>
      </c>
      <c r="D23" s="11" t="s">
        <v>793</v>
      </c>
      <c r="E23" s="11">
        <v>1</v>
      </c>
      <c r="F23" s="11" t="s">
        <v>794</v>
      </c>
      <c r="G23" s="11">
        <v>-1</v>
      </c>
      <c r="H23" s="11" t="s">
        <v>794</v>
      </c>
      <c r="I23" s="11">
        <v>0</v>
      </c>
      <c r="J23" s="11">
        <v>255</v>
      </c>
      <c r="K23" s="11">
        <v>0</v>
      </c>
      <c r="L23" s="11" t="s">
        <v>822</v>
      </c>
      <c r="M23" s="6" t="s">
        <v>795</v>
      </c>
      <c r="N23" s="6" t="s">
        <v>831</v>
      </c>
      <c r="O23" s="11" t="str">
        <f t="shared" si="3"/>
        <v>SAQ</v>
      </c>
    </row>
    <row r="24" spans="1:15">
      <c r="A24" s="6" t="s">
        <v>834</v>
      </c>
      <c r="B24" s="6" t="s">
        <v>792</v>
      </c>
      <c r="C24" s="6" t="s">
        <v>45</v>
      </c>
      <c r="D24" s="11" t="s">
        <v>793</v>
      </c>
      <c r="E24" s="11">
        <v>1</v>
      </c>
      <c r="F24" s="11" t="s">
        <v>794</v>
      </c>
      <c r="G24" s="11">
        <v>-1</v>
      </c>
      <c r="H24" s="11" t="s">
        <v>794</v>
      </c>
      <c r="I24" s="11">
        <v>-20000</v>
      </c>
      <c r="J24" s="11">
        <v>20000</v>
      </c>
      <c r="K24" s="11">
        <v>0</v>
      </c>
      <c r="L24" s="11" t="s">
        <v>235</v>
      </c>
      <c r="M24" s="6" t="s">
        <v>795</v>
      </c>
      <c r="N24" s="6" t="s">
        <v>835</v>
      </c>
      <c r="O24" s="11" t="str">
        <f t="shared" si="2"/>
        <v>COM</v>
      </c>
    </row>
    <row r="25" spans="1:15">
      <c r="A25" s="12" t="s">
        <v>836</v>
      </c>
      <c r="B25" s="12" t="s">
        <v>792</v>
      </c>
      <c r="C25" s="12" t="s">
        <v>837</v>
      </c>
      <c r="D25" s="13" t="s">
        <v>793</v>
      </c>
      <c r="E25" s="13">
        <v>1</v>
      </c>
      <c r="F25" s="13" t="s">
        <v>794</v>
      </c>
      <c r="G25" s="13">
        <v>-1</v>
      </c>
      <c r="H25" s="13" t="s">
        <v>794</v>
      </c>
      <c r="I25" s="13" t="s">
        <v>254</v>
      </c>
      <c r="J25" s="13" t="s">
        <v>254</v>
      </c>
      <c r="K25" s="13" t="s">
        <v>253</v>
      </c>
      <c r="L25" s="13" t="s">
        <v>79</v>
      </c>
      <c r="M25" s="12" t="s">
        <v>795</v>
      </c>
      <c r="N25" s="12" t="s">
        <v>838</v>
      </c>
      <c r="O25" s="11" t="str">
        <f t="shared" si="2"/>
        <v>COM</v>
      </c>
    </row>
    <row r="26" spans="1:15">
      <c r="A26" s="6" t="s">
        <v>839</v>
      </c>
      <c r="B26" s="6" t="s">
        <v>792</v>
      </c>
      <c r="C26" s="6" t="s">
        <v>45</v>
      </c>
      <c r="D26" s="11" t="s">
        <v>793</v>
      </c>
      <c r="E26" s="11">
        <v>1</v>
      </c>
      <c r="F26" s="11" t="s">
        <v>794</v>
      </c>
      <c r="G26" s="11">
        <v>-1</v>
      </c>
      <c r="H26" s="11" t="s">
        <v>794</v>
      </c>
      <c r="I26" s="11">
        <v>-1000</v>
      </c>
      <c r="J26" s="11">
        <v>1000</v>
      </c>
      <c r="K26" s="11">
        <v>0</v>
      </c>
      <c r="L26" s="11" t="s">
        <v>94</v>
      </c>
      <c r="M26" s="6" t="s">
        <v>795</v>
      </c>
      <c r="N26" s="6" t="s">
        <v>840</v>
      </c>
      <c r="O26" s="11" t="str">
        <f t="shared" si="2"/>
        <v>COM</v>
      </c>
    </row>
    <row r="27" spans="1:15">
      <c r="A27" s="6" t="s">
        <v>841</v>
      </c>
      <c r="B27" s="6" t="s">
        <v>792</v>
      </c>
      <c r="C27" s="6" t="s">
        <v>45</v>
      </c>
      <c r="D27" s="11" t="s">
        <v>793</v>
      </c>
      <c r="E27" s="11">
        <v>1</v>
      </c>
      <c r="F27" s="11" t="s">
        <v>794</v>
      </c>
      <c r="G27" s="11">
        <v>-1</v>
      </c>
      <c r="H27" s="11" t="s">
        <v>794</v>
      </c>
      <c r="I27" s="11">
        <v>-512</v>
      </c>
      <c r="J27" s="11">
        <v>512</v>
      </c>
      <c r="K27" s="11">
        <v>0</v>
      </c>
      <c r="L27" s="11" t="s">
        <v>94</v>
      </c>
      <c r="M27" s="6" t="s">
        <v>795</v>
      </c>
      <c r="N27" s="6" t="s">
        <v>842</v>
      </c>
      <c r="O27" s="11" t="str">
        <f t="shared" si="2"/>
        <v>COM</v>
      </c>
    </row>
    <row r="28" spans="1:15">
      <c r="A28" s="6" t="s">
        <v>843</v>
      </c>
      <c r="B28" s="6" t="s">
        <v>792</v>
      </c>
      <c r="C28" s="6" t="s">
        <v>43</v>
      </c>
      <c r="D28" s="11" t="s">
        <v>793</v>
      </c>
      <c r="E28" s="11">
        <v>1</v>
      </c>
      <c r="F28" s="11" t="s">
        <v>794</v>
      </c>
      <c r="G28" s="11">
        <v>-1</v>
      </c>
      <c r="H28" s="11" t="s">
        <v>794</v>
      </c>
      <c r="I28" s="11">
        <v>0</v>
      </c>
      <c r="J28" s="11">
        <v>4294836225</v>
      </c>
      <c r="K28" s="11">
        <v>0</v>
      </c>
      <c r="L28" s="11" t="s">
        <v>79</v>
      </c>
      <c r="M28" s="6" t="s">
        <v>795</v>
      </c>
      <c r="N28" s="6" t="s">
        <v>844</v>
      </c>
      <c r="O28" s="11" t="str">
        <f t="shared" si="2"/>
        <v>ISP</v>
      </c>
    </row>
    <row r="29" spans="1:15">
      <c r="A29" s="6" t="s">
        <v>845</v>
      </c>
      <c r="B29" s="6" t="s">
        <v>792</v>
      </c>
      <c r="C29" s="6" t="s">
        <v>46</v>
      </c>
      <c r="D29" s="11" t="s">
        <v>793</v>
      </c>
      <c r="E29" s="11">
        <v>1</v>
      </c>
      <c r="F29" s="11" t="s">
        <v>794</v>
      </c>
      <c r="G29" s="11">
        <v>-1</v>
      </c>
      <c r="H29" s="11" t="s">
        <v>794</v>
      </c>
      <c r="I29" s="11">
        <v>0</v>
      </c>
      <c r="J29" s="11">
        <v>1</v>
      </c>
      <c r="K29" s="11">
        <v>0</v>
      </c>
      <c r="L29" s="11" t="s">
        <v>79</v>
      </c>
      <c r="M29" s="6" t="s">
        <v>795</v>
      </c>
      <c r="N29" s="6" t="s">
        <v>846</v>
      </c>
      <c r="O29" s="11" t="str">
        <f t="shared" si="2"/>
        <v>ISP</v>
      </c>
    </row>
    <row r="30" spans="1:15">
      <c r="A30" s="6" t="s">
        <v>847</v>
      </c>
      <c r="B30" s="6" t="s">
        <v>792</v>
      </c>
      <c r="C30" s="6" t="s">
        <v>45</v>
      </c>
      <c r="D30" s="11" t="s">
        <v>793</v>
      </c>
      <c r="E30" s="11">
        <v>1</v>
      </c>
      <c r="F30" s="11" t="s">
        <v>794</v>
      </c>
      <c r="G30" s="11">
        <v>-1</v>
      </c>
      <c r="H30" s="11" t="s">
        <v>794</v>
      </c>
      <c r="I30" s="11">
        <v>-1000</v>
      </c>
      <c r="J30" s="11">
        <v>1000</v>
      </c>
      <c r="K30" s="11">
        <v>0</v>
      </c>
      <c r="L30" s="11" t="s">
        <v>172</v>
      </c>
      <c r="M30" s="6" t="s">
        <v>795</v>
      </c>
      <c r="N30" s="6" t="s">
        <v>848</v>
      </c>
      <c r="O30" s="11" t="str">
        <f t="shared" ref="O30:O60" si="4">MID(A30,1,3)</f>
        <v>ISP</v>
      </c>
    </row>
    <row r="31" spans="1:15">
      <c r="A31" s="6" t="s">
        <v>849</v>
      </c>
      <c r="B31" s="6" t="s">
        <v>792</v>
      </c>
      <c r="C31" s="6" t="s">
        <v>45</v>
      </c>
      <c r="D31" s="11" t="s">
        <v>793</v>
      </c>
      <c r="E31" s="11">
        <v>1</v>
      </c>
      <c r="F31" s="11" t="s">
        <v>794</v>
      </c>
      <c r="G31" s="11">
        <v>-1</v>
      </c>
      <c r="H31" s="11" t="s">
        <v>794</v>
      </c>
      <c r="I31" s="11">
        <v>-1000</v>
      </c>
      <c r="J31" s="11">
        <v>1000</v>
      </c>
      <c r="K31" s="11">
        <v>0</v>
      </c>
      <c r="L31" s="11" t="s">
        <v>172</v>
      </c>
      <c r="M31" s="6" t="s">
        <v>795</v>
      </c>
      <c r="N31" s="6" t="s">
        <v>850</v>
      </c>
      <c r="O31" s="11" t="str">
        <f t="shared" si="4"/>
        <v>ISP</v>
      </c>
    </row>
    <row r="32" spans="1:15">
      <c r="A32" s="6" t="s">
        <v>851</v>
      </c>
      <c r="B32" s="6" t="s">
        <v>792</v>
      </c>
      <c r="C32" s="6" t="s">
        <v>45</v>
      </c>
      <c r="D32" s="11" t="s">
        <v>793</v>
      </c>
      <c r="E32" s="11">
        <v>1</v>
      </c>
      <c r="F32" s="11" t="s">
        <v>794</v>
      </c>
      <c r="G32" s="11">
        <v>-1</v>
      </c>
      <c r="H32" s="11" t="s">
        <v>794</v>
      </c>
      <c r="I32" s="11">
        <v>-1000</v>
      </c>
      <c r="J32" s="11">
        <v>1000</v>
      </c>
      <c r="K32" s="11">
        <v>0</v>
      </c>
      <c r="L32" s="11" t="s">
        <v>172</v>
      </c>
      <c r="M32" s="6" t="s">
        <v>795</v>
      </c>
      <c r="N32" s="6" t="s">
        <v>852</v>
      </c>
      <c r="O32" s="11" t="str">
        <f t="shared" si="4"/>
        <v>ISP</v>
      </c>
    </row>
    <row r="33" spans="1:15">
      <c r="A33" s="6" t="s">
        <v>853</v>
      </c>
      <c r="B33" s="6" t="s">
        <v>792</v>
      </c>
      <c r="C33" s="6" t="s">
        <v>45</v>
      </c>
      <c r="D33" s="11" t="s">
        <v>793</v>
      </c>
      <c r="E33" s="11">
        <v>1</v>
      </c>
      <c r="F33" s="11" t="s">
        <v>794</v>
      </c>
      <c r="G33" s="11">
        <v>-1</v>
      </c>
      <c r="H33" s="11" t="s">
        <v>794</v>
      </c>
      <c r="I33" s="11">
        <v>-1000</v>
      </c>
      <c r="J33" s="11">
        <v>1000</v>
      </c>
      <c r="K33" s="11">
        <v>0</v>
      </c>
      <c r="L33" s="11" t="s">
        <v>172</v>
      </c>
      <c r="M33" s="6" t="s">
        <v>795</v>
      </c>
      <c r="N33" s="6" t="s">
        <v>854</v>
      </c>
      <c r="O33" s="11" t="str">
        <f t="shared" si="4"/>
        <v>ISP</v>
      </c>
    </row>
    <row r="34" spans="1:15">
      <c r="A34" s="6" t="s">
        <v>855</v>
      </c>
      <c r="B34" s="6" t="s">
        <v>792</v>
      </c>
      <c r="C34" s="6" t="s">
        <v>45</v>
      </c>
      <c r="D34" s="11" t="s">
        <v>793</v>
      </c>
      <c r="E34" s="11">
        <v>1</v>
      </c>
      <c r="F34" s="11" t="s">
        <v>794</v>
      </c>
      <c r="G34" s="11">
        <v>-1</v>
      </c>
      <c r="H34" s="11" t="s">
        <v>794</v>
      </c>
      <c r="I34" s="11">
        <v>-1000</v>
      </c>
      <c r="J34" s="11">
        <v>1000</v>
      </c>
      <c r="K34" s="11">
        <v>0</v>
      </c>
      <c r="L34" s="11" t="s">
        <v>172</v>
      </c>
      <c r="M34" s="6" t="s">
        <v>795</v>
      </c>
      <c r="N34" s="6" t="s">
        <v>854</v>
      </c>
      <c r="O34" s="11" t="str">
        <f t="shared" si="4"/>
        <v>ISP</v>
      </c>
    </row>
    <row r="35" spans="1:15">
      <c r="A35" s="6" t="s">
        <v>856</v>
      </c>
      <c r="B35" s="6" t="s">
        <v>792</v>
      </c>
      <c r="C35" s="6" t="s">
        <v>45</v>
      </c>
      <c r="D35" s="11" t="s">
        <v>793</v>
      </c>
      <c r="E35" s="11">
        <v>1</v>
      </c>
      <c r="F35" s="11" t="s">
        <v>794</v>
      </c>
      <c r="G35" s="11">
        <v>-1</v>
      </c>
      <c r="H35" s="11" t="s">
        <v>794</v>
      </c>
      <c r="I35" s="11">
        <v>-1000</v>
      </c>
      <c r="J35" s="11">
        <v>1000</v>
      </c>
      <c r="K35" s="11">
        <v>0</v>
      </c>
      <c r="L35" s="11" t="s">
        <v>172</v>
      </c>
      <c r="M35" s="6" t="s">
        <v>795</v>
      </c>
      <c r="N35" s="6" t="s">
        <v>857</v>
      </c>
      <c r="O35" s="11" t="str">
        <f t="shared" si="4"/>
        <v>ISP</v>
      </c>
    </row>
    <row r="36" spans="1:15">
      <c r="A36" s="6" t="s">
        <v>858</v>
      </c>
      <c r="B36" s="6" t="s">
        <v>792</v>
      </c>
      <c r="C36" s="6" t="s">
        <v>45</v>
      </c>
      <c r="D36" s="11" t="s">
        <v>793</v>
      </c>
      <c r="E36" s="11">
        <v>1</v>
      </c>
      <c r="F36" s="11" t="s">
        <v>794</v>
      </c>
      <c r="G36" s="11">
        <v>-1</v>
      </c>
      <c r="H36" s="11" t="s">
        <v>794</v>
      </c>
      <c r="I36" s="11">
        <v>-1000</v>
      </c>
      <c r="J36" s="11">
        <v>1000</v>
      </c>
      <c r="K36" s="11">
        <v>0</v>
      </c>
      <c r="L36" s="11" t="s">
        <v>172</v>
      </c>
      <c r="M36" s="6" t="s">
        <v>795</v>
      </c>
      <c r="N36" s="6" t="s">
        <v>859</v>
      </c>
      <c r="O36" s="11" t="str">
        <f t="shared" si="4"/>
        <v>ISP</v>
      </c>
    </row>
    <row r="37" spans="1:15">
      <c r="A37" s="6" t="s">
        <v>860</v>
      </c>
      <c r="B37" s="6" t="s">
        <v>792</v>
      </c>
      <c r="C37" s="6" t="s">
        <v>45</v>
      </c>
      <c r="D37" s="11" t="s">
        <v>793</v>
      </c>
      <c r="E37" s="11">
        <v>1</v>
      </c>
      <c r="F37" s="11" t="s">
        <v>794</v>
      </c>
      <c r="G37" s="11">
        <v>-1</v>
      </c>
      <c r="H37" s="11" t="s">
        <v>794</v>
      </c>
      <c r="I37" s="11">
        <v>-1000</v>
      </c>
      <c r="J37" s="11">
        <v>1000</v>
      </c>
      <c r="K37" s="11">
        <v>0</v>
      </c>
      <c r="L37" s="11" t="s">
        <v>172</v>
      </c>
      <c r="M37" s="6" t="s">
        <v>795</v>
      </c>
      <c r="N37" s="6" t="s">
        <v>861</v>
      </c>
      <c r="O37" s="11" t="str">
        <f t="shared" si="4"/>
        <v>ISP</v>
      </c>
    </row>
    <row r="38" spans="1:15">
      <c r="A38" s="6" t="s">
        <v>862</v>
      </c>
      <c r="B38" s="6" t="s">
        <v>792</v>
      </c>
      <c r="C38" s="6" t="s">
        <v>45</v>
      </c>
      <c r="D38" s="11" t="s">
        <v>793</v>
      </c>
      <c r="E38" s="11">
        <v>1</v>
      </c>
      <c r="F38" s="11" t="s">
        <v>794</v>
      </c>
      <c r="G38" s="11">
        <v>-1</v>
      </c>
      <c r="H38" s="11" t="s">
        <v>794</v>
      </c>
      <c r="I38" s="11">
        <v>-1000</v>
      </c>
      <c r="J38" s="11">
        <v>1000</v>
      </c>
      <c r="K38" s="11">
        <v>0</v>
      </c>
      <c r="L38" s="11" t="s">
        <v>172</v>
      </c>
      <c r="M38" s="6" t="s">
        <v>795</v>
      </c>
      <c r="N38" s="6" t="s">
        <v>863</v>
      </c>
      <c r="O38" s="11" t="str">
        <f t="shared" si="4"/>
        <v>ISP</v>
      </c>
    </row>
    <row r="39" spans="1:15">
      <c r="A39" s="6" t="s">
        <v>864</v>
      </c>
      <c r="B39" s="6" t="s">
        <v>792</v>
      </c>
      <c r="C39" s="6" t="s">
        <v>45</v>
      </c>
      <c r="D39" s="11" t="s">
        <v>793</v>
      </c>
      <c r="E39" s="11">
        <v>1</v>
      </c>
      <c r="F39" s="11" t="s">
        <v>794</v>
      </c>
      <c r="G39" s="11">
        <v>-1</v>
      </c>
      <c r="H39" s="11" t="s">
        <v>794</v>
      </c>
      <c r="I39" s="11">
        <v>-1000</v>
      </c>
      <c r="J39" s="11">
        <v>1000</v>
      </c>
      <c r="K39" s="11">
        <v>0</v>
      </c>
      <c r="L39" s="11" t="s">
        <v>172</v>
      </c>
      <c r="M39" s="6" t="s">
        <v>795</v>
      </c>
      <c r="N39" s="6" t="s">
        <v>865</v>
      </c>
      <c r="O39" s="11" t="str">
        <f t="shared" si="4"/>
        <v>ISP</v>
      </c>
    </row>
    <row r="40" spans="1:15">
      <c r="A40" s="6" t="s">
        <v>866</v>
      </c>
      <c r="B40" s="6" t="s">
        <v>792</v>
      </c>
      <c r="C40" s="6" t="s">
        <v>45</v>
      </c>
      <c r="D40" s="11" t="s">
        <v>793</v>
      </c>
      <c r="E40" s="11">
        <v>1</v>
      </c>
      <c r="F40" s="11" t="s">
        <v>794</v>
      </c>
      <c r="G40" s="11">
        <v>-1</v>
      </c>
      <c r="H40" s="11" t="s">
        <v>794</v>
      </c>
      <c r="I40" s="11">
        <v>-1000</v>
      </c>
      <c r="J40" s="11">
        <v>1000</v>
      </c>
      <c r="K40" s="11">
        <v>0</v>
      </c>
      <c r="L40" s="11" t="s">
        <v>172</v>
      </c>
      <c r="M40" s="6" t="s">
        <v>795</v>
      </c>
      <c r="N40" s="6" t="s">
        <v>867</v>
      </c>
      <c r="O40" s="11" t="str">
        <f t="shared" si="4"/>
        <v>ISP</v>
      </c>
    </row>
    <row r="41" spans="1:15">
      <c r="A41" s="6" t="s">
        <v>868</v>
      </c>
      <c r="B41" s="6" t="s">
        <v>792</v>
      </c>
      <c r="C41" s="6" t="s">
        <v>45</v>
      </c>
      <c r="D41" s="11" t="s">
        <v>793</v>
      </c>
      <c r="E41" s="11">
        <v>1</v>
      </c>
      <c r="F41" s="11" t="s">
        <v>794</v>
      </c>
      <c r="G41" s="11">
        <v>-1</v>
      </c>
      <c r="H41" s="11" t="s">
        <v>794</v>
      </c>
      <c r="I41" s="11">
        <v>-1000</v>
      </c>
      <c r="J41" s="11">
        <v>1000</v>
      </c>
      <c r="K41" s="11">
        <v>0</v>
      </c>
      <c r="L41" s="11" t="s">
        <v>172</v>
      </c>
      <c r="M41" s="6" t="s">
        <v>795</v>
      </c>
      <c r="N41" s="6" t="s">
        <v>869</v>
      </c>
      <c r="O41" s="11" t="str">
        <f t="shared" si="4"/>
        <v>ISP</v>
      </c>
    </row>
    <row r="42" spans="1:15">
      <c r="A42" s="6" t="s">
        <v>870</v>
      </c>
      <c r="B42" s="6" t="s">
        <v>792</v>
      </c>
      <c r="C42" s="6" t="s">
        <v>45</v>
      </c>
      <c r="D42" s="11" t="s">
        <v>793</v>
      </c>
      <c r="E42" s="11">
        <v>1</v>
      </c>
      <c r="F42" s="11" t="s">
        <v>794</v>
      </c>
      <c r="G42" s="11">
        <v>-1</v>
      </c>
      <c r="H42" s="11" t="s">
        <v>794</v>
      </c>
      <c r="I42" s="11">
        <v>-1000</v>
      </c>
      <c r="J42" s="11">
        <v>1000</v>
      </c>
      <c r="K42" s="11">
        <v>0</v>
      </c>
      <c r="L42" s="11" t="s">
        <v>172</v>
      </c>
      <c r="M42" s="6" t="s">
        <v>795</v>
      </c>
      <c r="N42" s="6" t="s">
        <v>871</v>
      </c>
      <c r="O42" s="11" t="str">
        <f t="shared" si="4"/>
        <v>ISP</v>
      </c>
    </row>
    <row r="43" spans="1:15">
      <c r="A43" s="6" t="s">
        <v>872</v>
      </c>
      <c r="B43" s="6" t="s">
        <v>792</v>
      </c>
      <c r="C43" s="6" t="s">
        <v>45</v>
      </c>
      <c r="D43" s="11" t="s">
        <v>793</v>
      </c>
      <c r="E43" s="11">
        <v>1</v>
      </c>
      <c r="F43" s="11" t="s">
        <v>794</v>
      </c>
      <c r="G43" s="11">
        <v>-1</v>
      </c>
      <c r="H43" s="11" t="s">
        <v>794</v>
      </c>
      <c r="I43" s="11">
        <v>-1000</v>
      </c>
      <c r="J43" s="11">
        <v>1000</v>
      </c>
      <c r="K43" s="11">
        <v>0</v>
      </c>
      <c r="L43" s="11" t="s">
        <v>172</v>
      </c>
      <c r="M43" s="6" t="s">
        <v>795</v>
      </c>
      <c r="N43" s="6" t="s">
        <v>873</v>
      </c>
      <c r="O43" s="11" t="str">
        <f t="shared" si="4"/>
        <v>ISP</v>
      </c>
    </row>
    <row r="44" spans="1:15">
      <c r="A44" s="6" t="s">
        <v>874</v>
      </c>
      <c r="B44" s="6" t="s">
        <v>792</v>
      </c>
      <c r="C44" s="6" t="s">
        <v>45</v>
      </c>
      <c r="D44" s="11" t="s">
        <v>793</v>
      </c>
      <c r="E44" s="11">
        <v>1</v>
      </c>
      <c r="F44" s="11" t="s">
        <v>794</v>
      </c>
      <c r="G44" s="11">
        <v>-1</v>
      </c>
      <c r="H44" s="11" t="s">
        <v>794</v>
      </c>
      <c r="I44" s="11">
        <v>-1000</v>
      </c>
      <c r="J44" s="11">
        <v>1000</v>
      </c>
      <c r="K44" s="11">
        <v>0</v>
      </c>
      <c r="L44" s="11" t="s">
        <v>172</v>
      </c>
      <c r="M44" s="6" t="s">
        <v>795</v>
      </c>
      <c r="N44" s="6" t="s">
        <v>873</v>
      </c>
      <c r="O44" s="11" t="str">
        <f t="shared" si="4"/>
        <v>ISP</v>
      </c>
    </row>
    <row r="45" spans="1:15">
      <c r="A45" s="6" t="s">
        <v>875</v>
      </c>
      <c r="B45" s="6" t="s">
        <v>792</v>
      </c>
      <c r="C45" s="6" t="s">
        <v>45</v>
      </c>
      <c r="D45" s="11" t="s">
        <v>793</v>
      </c>
      <c r="E45" s="11">
        <v>1</v>
      </c>
      <c r="F45" s="11" t="s">
        <v>794</v>
      </c>
      <c r="G45" s="11">
        <v>-1</v>
      </c>
      <c r="H45" s="11" t="s">
        <v>794</v>
      </c>
      <c r="I45" s="11">
        <v>-1000</v>
      </c>
      <c r="J45" s="11">
        <v>1000</v>
      </c>
      <c r="K45" s="11">
        <v>0</v>
      </c>
      <c r="L45" s="11" t="s">
        <v>172</v>
      </c>
      <c r="M45" s="6" t="s">
        <v>795</v>
      </c>
      <c r="N45" s="6" t="s">
        <v>873</v>
      </c>
      <c r="O45" s="11" t="str">
        <f t="shared" si="4"/>
        <v>ISP</v>
      </c>
    </row>
    <row r="46" spans="1:15">
      <c r="A46" s="6" t="s">
        <v>876</v>
      </c>
      <c r="B46" s="6" t="s">
        <v>792</v>
      </c>
      <c r="C46" s="6" t="s">
        <v>45</v>
      </c>
      <c r="D46" s="11" t="s">
        <v>793</v>
      </c>
      <c r="E46" s="11">
        <v>1</v>
      </c>
      <c r="F46" s="11" t="s">
        <v>794</v>
      </c>
      <c r="G46" s="11">
        <v>-1</v>
      </c>
      <c r="H46" s="11" t="s">
        <v>794</v>
      </c>
      <c r="I46" s="11">
        <v>-1000</v>
      </c>
      <c r="J46" s="11">
        <v>1000</v>
      </c>
      <c r="K46" s="11">
        <v>0</v>
      </c>
      <c r="L46" s="11" t="s">
        <v>172</v>
      </c>
      <c r="M46" s="6" t="s">
        <v>795</v>
      </c>
      <c r="N46" s="6" t="s">
        <v>873</v>
      </c>
      <c r="O46" s="11" t="str">
        <f t="shared" si="4"/>
        <v>ISP</v>
      </c>
    </row>
    <row r="47" spans="1:15">
      <c r="A47" s="6" t="s">
        <v>877</v>
      </c>
      <c r="B47" s="6" t="s">
        <v>792</v>
      </c>
      <c r="C47" s="6" t="s">
        <v>45</v>
      </c>
      <c r="D47" s="11" t="s">
        <v>793</v>
      </c>
      <c r="E47" s="11">
        <v>1</v>
      </c>
      <c r="F47" s="11" t="s">
        <v>794</v>
      </c>
      <c r="G47" s="11">
        <v>-1</v>
      </c>
      <c r="H47" s="11" t="s">
        <v>794</v>
      </c>
      <c r="I47" s="11">
        <v>-1000</v>
      </c>
      <c r="J47" s="11">
        <v>1000</v>
      </c>
      <c r="K47" s="11">
        <v>0</v>
      </c>
      <c r="L47" s="11" t="s">
        <v>172</v>
      </c>
      <c r="M47" s="6" t="s">
        <v>795</v>
      </c>
      <c r="N47" s="6" t="s">
        <v>878</v>
      </c>
      <c r="O47" s="11" t="str">
        <f t="shared" si="4"/>
        <v>ISP</v>
      </c>
    </row>
    <row r="48" spans="1:15">
      <c r="A48" s="6" t="s">
        <v>879</v>
      </c>
      <c r="B48" s="6" t="s">
        <v>792</v>
      </c>
      <c r="C48" s="6" t="s">
        <v>45</v>
      </c>
      <c r="D48" s="11" t="s">
        <v>793</v>
      </c>
      <c r="E48" s="11">
        <v>1</v>
      </c>
      <c r="F48" s="11" t="s">
        <v>794</v>
      </c>
      <c r="G48" s="11">
        <v>-1</v>
      </c>
      <c r="H48" s="11" t="s">
        <v>794</v>
      </c>
      <c r="I48" s="11">
        <v>-1000</v>
      </c>
      <c r="J48" s="11">
        <v>1000</v>
      </c>
      <c r="K48" s="11">
        <v>0</v>
      </c>
      <c r="L48" s="11" t="s">
        <v>172</v>
      </c>
      <c r="M48" s="6" t="s">
        <v>795</v>
      </c>
      <c r="N48" s="6" t="s">
        <v>880</v>
      </c>
      <c r="O48" s="11" t="str">
        <f t="shared" si="4"/>
        <v>ISP</v>
      </c>
    </row>
    <row r="49" spans="1:15">
      <c r="A49" s="6" t="s">
        <v>881</v>
      </c>
      <c r="B49" s="6" t="s">
        <v>792</v>
      </c>
      <c r="C49" s="6" t="s">
        <v>45</v>
      </c>
      <c r="D49" s="11" t="s">
        <v>793</v>
      </c>
      <c r="E49" s="11">
        <v>1</v>
      </c>
      <c r="F49" s="11" t="s">
        <v>794</v>
      </c>
      <c r="G49" s="11">
        <v>-1</v>
      </c>
      <c r="H49" s="11" t="s">
        <v>794</v>
      </c>
      <c r="I49" s="11">
        <v>-1000</v>
      </c>
      <c r="J49" s="11">
        <v>1000</v>
      </c>
      <c r="K49" s="11">
        <v>0</v>
      </c>
      <c r="L49" s="11" t="s">
        <v>172</v>
      </c>
      <c r="M49" s="6" t="s">
        <v>795</v>
      </c>
      <c r="N49" s="6" t="s">
        <v>880</v>
      </c>
      <c r="O49" s="11" t="str">
        <f t="shared" si="4"/>
        <v>ISP</v>
      </c>
    </row>
    <row r="50" spans="1:15">
      <c r="A50" s="6" t="s">
        <v>882</v>
      </c>
      <c r="B50" s="6" t="s">
        <v>792</v>
      </c>
      <c r="C50" s="6" t="s">
        <v>45</v>
      </c>
      <c r="D50" s="11" t="s">
        <v>793</v>
      </c>
      <c r="E50" s="11">
        <v>1</v>
      </c>
      <c r="F50" s="11" t="s">
        <v>794</v>
      </c>
      <c r="G50" s="11">
        <v>-1</v>
      </c>
      <c r="H50" s="11" t="s">
        <v>794</v>
      </c>
      <c r="I50" s="11">
        <v>-1000</v>
      </c>
      <c r="J50" s="11">
        <v>1000</v>
      </c>
      <c r="K50" s="11">
        <v>0</v>
      </c>
      <c r="L50" s="11" t="s">
        <v>172</v>
      </c>
      <c r="M50" s="6" t="s">
        <v>795</v>
      </c>
      <c r="N50" s="6" t="s">
        <v>883</v>
      </c>
      <c r="O50" s="11" t="str">
        <f t="shared" si="4"/>
        <v>ISP</v>
      </c>
    </row>
    <row r="51" spans="1:15">
      <c r="A51" s="6" t="s">
        <v>884</v>
      </c>
      <c r="B51" s="6" t="s">
        <v>792</v>
      </c>
      <c r="C51" s="6" t="s">
        <v>45</v>
      </c>
      <c r="D51" s="11" t="s">
        <v>793</v>
      </c>
      <c r="E51" s="11">
        <v>1</v>
      </c>
      <c r="F51" s="11" t="s">
        <v>794</v>
      </c>
      <c r="G51" s="11">
        <v>-1</v>
      </c>
      <c r="H51" s="11" t="s">
        <v>794</v>
      </c>
      <c r="I51" s="11">
        <v>-1000</v>
      </c>
      <c r="J51" s="11">
        <v>1000</v>
      </c>
      <c r="K51" s="11">
        <v>0</v>
      </c>
      <c r="L51" s="11" t="s">
        <v>172</v>
      </c>
      <c r="M51" s="6" t="s">
        <v>795</v>
      </c>
      <c r="N51" s="6" t="s">
        <v>885</v>
      </c>
      <c r="O51" s="11" t="str">
        <f t="shared" si="4"/>
        <v>ISP</v>
      </c>
    </row>
    <row r="52" spans="1:15">
      <c r="A52" s="6" t="s">
        <v>886</v>
      </c>
      <c r="B52" s="6" t="s">
        <v>792</v>
      </c>
      <c r="C52" s="6" t="s">
        <v>45</v>
      </c>
      <c r="D52" s="11" t="s">
        <v>793</v>
      </c>
      <c r="E52" s="11">
        <v>1</v>
      </c>
      <c r="F52" s="11" t="s">
        <v>794</v>
      </c>
      <c r="G52" s="11">
        <v>-1</v>
      </c>
      <c r="H52" s="11" t="s">
        <v>794</v>
      </c>
      <c r="I52" s="11">
        <v>-1000</v>
      </c>
      <c r="J52" s="11">
        <v>1000</v>
      </c>
      <c r="K52" s="11">
        <v>0</v>
      </c>
      <c r="L52" s="11" t="s">
        <v>172</v>
      </c>
      <c r="M52" s="6" t="s">
        <v>795</v>
      </c>
      <c r="N52" s="6" t="s">
        <v>887</v>
      </c>
      <c r="O52" s="11" t="str">
        <f t="shared" si="4"/>
        <v>ISP</v>
      </c>
    </row>
    <row r="53" spans="1:15">
      <c r="A53" s="6" t="s">
        <v>888</v>
      </c>
      <c r="B53" s="6" t="s">
        <v>792</v>
      </c>
      <c r="C53" s="6" t="s">
        <v>42</v>
      </c>
      <c r="D53" s="11" t="s">
        <v>793</v>
      </c>
      <c r="E53" s="11">
        <v>1</v>
      </c>
      <c r="F53" s="11" t="s">
        <v>794</v>
      </c>
      <c r="G53" s="11">
        <v>-1</v>
      </c>
      <c r="H53" s="11" t="s">
        <v>794</v>
      </c>
      <c r="I53" s="11">
        <v>-32768</v>
      </c>
      <c r="J53" s="11">
        <v>32767</v>
      </c>
      <c r="K53" s="11">
        <v>0</v>
      </c>
      <c r="L53" s="11" t="s">
        <v>79</v>
      </c>
      <c r="M53" s="6" t="s">
        <v>795</v>
      </c>
      <c r="N53" s="6" t="s">
        <v>889</v>
      </c>
      <c r="O53" s="11" t="str">
        <f t="shared" si="4"/>
        <v>ISP</v>
      </c>
    </row>
    <row r="54" spans="1:15">
      <c r="A54" s="6" t="s">
        <v>890</v>
      </c>
      <c r="B54" s="6" t="s">
        <v>792</v>
      </c>
      <c r="C54" s="6" t="s">
        <v>42</v>
      </c>
      <c r="D54" s="11" t="s">
        <v>793</v>
      </c>
      <c r="E54" s="11">
        <v>1</v>
      </c>
      <c r="F54" s="11" t="s">
        <v>794</v>
      </c>
      <c r="G54" s="11">
        <v>-1</v>
      </c>
      <c r="H54" s="11" t="s">
        <v>794</v>
      </c>
      <c r="I54" s="11">
        <v>-32768</v>
      </c>
      <c r="J54" s="11">
        <v>32767</v>
      </c>
      <c r="K54" s="11">
        <v>0</v>
      </c>
      <c r="L54" s="11" t="s">
        <v>79</v>
      </c>
      <c r="M54" s="6" t="s">
        <v>795</v>
      </c>
      <c r="N54" s="6" t="s">
        <v>891</v>
      </c>
      <c r="O54" s="11" t="str">
        <f t="shared" si="4"/>
        <v>ISP</v>
      </c>
    </row>
    <row r="55" spans="1:15">
      <c r="A55" s="6" t="s">
        <v>892</v>
      </c>
      <c r="B55" s="6" t="s">
        <v>792</v>
      </c>
      <c r="C55" s="6" t="s">
        <v>42</v>
      </c>
      <c r="D55" s="11" t="s">
        <v>793</v>
      </c>
      <c r="E55" s="11">
        <v>1</v>
      </c>
      <c r="F55" s="11" t="s">
        <v>794</v>
      </c>
      <c r="G55" s="11">
        <v>-1</v>
      </c>
      <c r="H55" s="11" t="s">
        <v>794</v>
      </c>
      <c r="I55" s="11">
        <v>-32768</v>
      </c>
      <c r="J55" s="11">
        <v>32767</v>
      </c>
      <c r="K55" s="11">
        <v>0</v>
      </c>
      <c r="L55" s="11" t="s">
        <v>79</v>
      </c>
      <c r="M55" s="6" t="s">
        <v>795</v>
      </c>
      <c r="N55" s="6" t="s">
        <v>893</v>
      </c>
      <c r="O55" s="11" t="str">
        <f t="shared" si="4"/>
        <v>ISP</v>
      </c>
    </row>
    <row r="56" spans="1:15">
      <c r="A56" s="6" t="s">
        <v>894</v>
      </c>
      <c r="B56" s="6" t="s">
        <v>792</v>
      </c>
      <c r="C56" s="6" t="s">
        <v>42</v>
      </c>
      <c r="D56" s="11" t="s">
        <v>793</v>
      </c>
      <c r="E56" s="11">
        <v>1</v>
      </c>
      <c r="F56" s="11" t="s">
        <v>794</v>
      </c>
      <c r="G56" s="11">
        <v>-1</v>
      </c>
      <c r="H56" s="11" t="s">
        <v>794</v>
      </c>
      <c r="I56" s="11">
        <v>-32768</v>
      </c>
      <c r="J56" s="11">
        <v>32767</v>
      </c>
      <c r="K56" s="11">
        <v>0</v>
      </c>
      <c r="L56" s="11" t="s">
        <v>79</v>
      </c>
      <c r="M56" s="6" t="s">
        <v>795</v>
      </c>
      <c r="N56" s="6" t="s">
        <v>895</v>
      </c>
      <c r="O56" s="11" t="str">
        <f t="shared" si="4"/>
        <v>ISP</v>
      </c>
    </row>
    <row r="57" spans="1:15">
      <c r="A57" s="6" t="s">
        <v>896</v>
      </c>
      <c r="B57" s="6" t="s">
        <v>792</v>
      </c>
      <c r="C57" s="6" t="s">
        <v>42</v>
      </c>
      <c r="D57" s="11" t="s">
        <v>793</v>
      </c>
      <c r="E57" s="11">
        <v>1</v>
      </c>
      <c r="F57" s="11" t="s">
        <v>794</v>
      </c>
      <c r="G57" s="11">
        <v>-1</v>
      </c>
      <c r="H57" s="11" t="s">
        <v>794</v>
      </c>
      <c r="I57" s="11">
        <v>-32768</v>
      </c>
      <c r="J57" s="11">
        <v>32767</v>
      </c>
      <c r="K57" s="11">
        <v>0</v>
      </c>
      <c r="L57" s="11" t="s">
        <v>79</v>
      </c>
      <c r="M57" s="6" t="s">
        <v>795</v>
      </c>
      <c r="N57" s="6" t="s">
        <v>897</v>
      </c>
      <c r="O57" s="11" t="str">
        <f t="shared" ref="O57:O59" si="5">MID(A57,1,3)</f>
        <v>ISP</v>
      </c>
    </row>
    <row r="58" spans="1:15">
      <c r="A58" s="6" t="s">
        <v>898</v>
      </c>
      <c r="B58" s="6" t="s">
        <v>792</v>
      </c>
      <c r="C58" s="6" t="s">
        <v>42</v>
      </c>
      <c r="D58" s="11" t="s">
        <v>793</v>
      </c>
      <c r="E58" s="11">
        <v>1</v>
      </c>
      <c r="F58" s="11" t="s">
        <v>794</v>
      </c>
      <c r="G58" s="11">
        <v>-1</v>
      </c>
      <c r="H58" s="11" t="s">
        <v>794</v>
      </c>
      <c r="I58" s="11">
        <v>-32768</v>
      </c>
      <c r="J58" s="11">
        <v>32767</v>
      </c>
      <c r="K58" s="11">
        <v>0</v>
      </c>
      <c r="L58" s="11" t="s">
        <v>79</v>
      </c>
      <c r="M58" s="6" t="s">
        <v>795</v>
      </c>
      <c r="N58" s="6" t="s">
        <v>899</v>
      </c>
      <c r="O58" s="11" t="str">
        <f t="shared" si="5"/>
        <v>ISP</v>
      </c>
    </row>
    <row r="59" spans="1:15">
      <c r="A59" s="6" t="s">
        <v>900</v>
      </c>
      <c r="B59" s="6" t="s">
        <v>792</v>
      </c>
      <c r="C59" s="6" t="s">
        <v>42</v>
      </c>
      <c r="D59" s="11" t="s">
        <v>793</v>
      </c>
      <c r="E59" s="11">
        <v>1</v>
      </c>
      <c r="F59" s="11" t="s">
        <v>794</v>
      </c>
      <c r="G59" s="11">
        <v>-1</v>
      </c>
      <c r="H59" s="11" t="s">
        <v>794</v>
      </c>
      <c r="I59" s="11">
        <v>-32768</v>
      </c>
      <c r="J59" s="11">
        <v>32767</v>
      </c>
      <c r="K59" s="11">
        <v>0</v>
      </c>
      <c r="L59" s="11" t="s">
        <v>79</v>
      </c>
      <c r="M59" s="6" t="s">
        <v>795</v>
      </c>
      <c r="N59" s="6" t="s">
        <v>901</v>
      </c>
      <c r="O59" s="11" t="str">
        <f t="shared" si="5"/>
        <v>ISP</v>
      </c>
    </row>
    <row r="60" spans="1:15">
      <c r="A60" s="6" t="s">
        <v>902</v>
      </c>
      <c r="B60" s="6" t="s">
        <v>792</v>
      </c>
      <c r="C60" s="6" t="s">
        <v>42</v>
      </c>
      <c r="D60" s="11" t="s">
        <v>793</v>
      </c>
      <c r="E60" s="11">
        <v>1</v>
      </c>
      <c r="F60" s="11" t="s">
        <v>794</v>
      </c>
      <c r="G60" s="11">
        <v>-1</v>
      </c>
      <c r="H60" s="11" t="s">
        <v>794</v>
      </c>
      <c r="I60" s="11">
        <v>-32768</v>
      </c>
      <c r="J60" s="11">
        <v>32767</v>
      </c>
      <c r="K60" s="11">
        <v>0</v>
      </c>
      <c r="L60" s="11" t="s">
        <v>79</v>
      </c>
      <c r="M60" s="6" t="s">
        <v>795</v>
      </c>
      <c r="N60" s="6" t="s">
        <v>903</v>
      </c>
      <c r="O60" s="11" t="str">
        <f t="shared" si="4"/>
        <v>ISP</v>
      </c>
    </row>
    <row r="61" spans="1:15">
      <c r="A61" s="6" t="s">
        <v>904</v>
      </c>
      <c r="B61" s="6" t="s">
        <v>792</v>
      </c>
      <c r="C61" s="6" t="s">
        <v>45</v>
      </c>
      <c r="D61" s="11" t="s">
        <v>793</v>
      </c>
      <c r="E61" s="11">
        <v>1</v>
      </c>
      <c r="F61" s="11" t="s">
        <v>794</v>
      </c>
      <c r="G61" s="11">
        <v>-1</v>
      </c>
      <c r="H61" s="11" t="s">
        <v>794</v>
      </c>
      <c r="I61" s="11">
        <v>-32768</v>
      </c>
      <c r="J61" s="11">
        <v>32767</v>
      </c>
      <c r="K61" s="11">
        <v>0</v>
      </c>
      <c r="L61" s="11" t="s">
        <v>79</v>
      </c>
      <c r="M61" s="6" t="s">
        <v>795</v>
      </c>
      <c r="N61" s="6" t="s">
        <v>905</v>
      </c>
      <c r="O61" s="11" t="str">
        <f t="shared" ref="O61" si="6">MID(A61,1,3)</f>
        <v>ISP</v>
      </c>
    </row>
    <row r="62" spans="1:15">
      <c r="A62" s="6" t="s">
        <v>906</v>
      </c>
      <c r="B62" s="6" t="s">
        <v>792</v>
      </c>
      <c r="C62" s="6" t="s">
        <v>45</v>
      </c>
      <c r="D62" s="11" t="s">
        <v>793</v>
      </c>
      <c r="E62" s="11">
        <v>1</v>
      </c>
      <c r="F62" s="11" t="s">
        <v>794</v>
      </c>
      <c r="G62" s="11">
        <v>-1</v>
      </c>
      <c r="H62" s="11" t="s">
        <v>794</v>
      </c>
      <c r="I62" s="11">
        <v>-3276700</v>
      </c>
      <c r="J62" s="11">
        <v>3276700</v>
      </c>
      <c r="K62" s="11">
        <v>0</v>
      </c>
      <c r="L62" s="11" t="s">
        <v>79</v>
      </c>
      <c r="M62" s="6" t="s">
        <v>795</v>
      </c>
      <c r="N62" s="6" t="s">
        <v>907</v>
      </c>
      <c r="O62" s="11" t="str">
        <f t="shared" ref="O62" si="7">MID(A62,1,3)</f>
        <v>ISP</v>
      </c>
    </row>
    <row r="63" spans="1:15">
      <c r="A63" s="6" t="s">
        <v>908</v>
      </c>
      <c r="B63" s="6" t="s">
        <v>792</v>
      </c>
      <c r="C63" s="6" t="s">
        <v>45</v>
      </c>
      <c r="D63" s="11" t="s">
        <v>793</v>
      </c>
      <c r="E63" s="11">
        <v>1</v>
      </c>
      <c r="F63" s="11" t="s">
        <v>794</v>
      </c>
      <c r="G63" s="11">
        <v>-1</v>
      </c>
      <c r="H63" s="11" t="s">
        <v>794</v>
      </c>
      <c r="I63" s="11">
        <v>-20000</v>
      </c>
      <c r="J63" s="11">
        <v>20000</v>
      </c>
      <c r="K63" s="11">
        <v>0</v>
      </c>
      <c r="L63" s="11" t="s">
        <v>235</v>
      </c>
      <c r="M63" s="6" t="s">
        <v>795</v>
      </c>
      <c r="N63" s="6" t="s">
        <v>909</v>
      </c>
      <c r="O63" s="11" t="str">
        <f t="shared" ref="O63:O79" si="8">MID(A63,1,3)</f>
        <v>ISP</v>
      </c>
    </row>
    <row r="64" spans="1:15">
      <c r="A64" s="6" t="s">
        <v>910</v>
      </c>
      <c r="B64" s="6" t="s">
        <v>792</v>
      </c>
      <c r="C64" s="6" t="s">
        <v>45</v>
      </c>
      <c r="D64" s="11" t="s">
        <v>793</v>
      </c>
      <c r="E64" s="11">
        <v>1</v>
      </c>
      <c r="F64" s="11" t="s">
        <v>794</v>
      </c>
      <c r="G64" s="11">
        <v>-1</v>
      </c>
      <c r="H64" s="11" t="s">
        <v>794</v>
      </c>
      <c r="I64" s="11">
        <v>0</v>
      </c>
      <c r="J64" s="11">
        <v>1.5</v>
      </c>
      <c r="K64" s="11">
        <v>0</v>
      </c>
      <c r="L64" s="11" t="s">
        <v>79</v>
      </c>
      <c r="M64" s="6" t="s">
        <v>795</v>
      </c>
      <c r="N64" s="6" t="s">
        <v>911</v>
      </c>
      <c r="O64" s="11" t="str">
        <f t="shared" si="8"/>
        <v>ISP</v>
      </c>
    </row>
    <row r="65" spans="1:15">
      <c r="A65" s="6" t="s">
        <v>912</v>
      </c>
      <c r="B65" s="6" t="s">
        <v>792</v>
      </c>
      <c r="C65" s="6" t="s">
        <v>45</v>
      </c>
      <c r="D65" s="11" t="s">
        <v>793</v>
      </c>
      <c r="E65" s="11">
        <v>1</v>
      </c>
      <c r="F65" s="11" t="s">
        <v>794</v>
      </c>
      <c r="G65" s="11">
        <v>-1</v>
      </c>
      <c r="H65" s="11" t="s">
        <v>794</v>
      </c>
      <c r="I65" s="11">
        <v>-1000</v>
      </c>
      <c r="J65" s="11">
        <v>1000</v>
      </c>
      <c r="K65" s="11">
        <v>0</v>
      </c>
      <c r="L65" s="11" t="s">
        <v>79</v>
      </c>
      <c r="M65" s="6" t="s">
        <v>795</v>
      </c>
      <c r="N65" s="6" t="s">
        <v>913</v>
      </c>
      <c r="O65" s="11" t="str">
        <f t="shared" si="8"/>
        <v>ISP</v>
      </c>
    </row>
    <row r="66" spans="1:15">
      <c r="A66" s="6" t="s">
        <v>914</v>
      </c>
      <c r="B66" s="6" t="s">
        <v>792</v>
      </c>
      <c r="C66" s="6" t="s">
        <v>45</v>
      </c>
      <c r="D66" s="11" t="s">
        <v>793</v>
      </c>
      <c r="E66" s="11">
        <v>1</v>
      </c>
      <c r="F66" s="11" t="s">
        <v>794</v>
      </c>
      <c r="G66" s="11">
        <v>-1</v>
      </c>
      <c r="H66" s="11" t="s">
        <v>794</v>
      </c>
      <c r="I66" s="11">
        <v>-1000</v>
      </c>
      <c r="J66" s="11">
        <v>1000</v>
      </c>
      <c r="K66" s="11">
        <v>0</v>
      </c>
      <c r="L66" s="11" t="s">
        <v>79</v>
      </c>
      <c r="M66" s="6" t="s">
        <v>795</v>
      </c>
      <c r="N66" s="6" t="s">
        <v>915</v>
      </c>
      <c r="O66" s="11" t="str">
        <f t="shared" si="8"/>
        <v>ISP</v>
      </c>
    </row>
    <row r="67" spans="1:15">
      <c r="A67" s="6" t="s">
        <v>916</v>
      </c>
      <c r="B67" s="6" t="s">
        <v>792</v>
      </c>
      <c r="C67" s="6" t="s">
        <v>38</v>
      </c>
      <c r="D67" s="11" t="s">
        <v>793</v>
      </c>
      <c r="E67" s="11">
        <v>1</v>
      </c>
      <c r="F67" s="11" t="s">
        <v>794</v>
      </c>
      <c r="G67" s="11">
        <v>-1</v>
      </c>
      <c r="H67" s="11" t="s">
        <v>794</v>
      </c>
      <c r="I67" s="11">
        <v>0</v>
      </c>
      <c r="J67" s="11">
        <v>2</v>
      </c>
      <c r="K67" s="11">
        <v>0</v>
      </c>
      <c r="L67" s="11" t="s">
        <v>79</v>
      </c>
      <c r="M67" s="6" t="s">
        <v>795</v>
      </c>
      <c r="N67" s="6" t="s">
        <v>917</v>
      </c>
      <c r="O67" s="11" t="str">
        <f t="shared" si="8"/>
        <v>ISP</v>
      </c>
    </row>
    <row r="68" spans="1:15">
      <c r="A68" s="6" t="s">
        <v>918</v>
      </c>
      <c r="B68" s="6" t="s">
        <v>792</v>
      </c>
      <c r="C68" s="6" t="s">
        <v>45</v>
      </c>
      <c r="D68" s="11" t="s">
        <v>793</v>
      </c>
      <c r="E68" s="11">
        <v>1</v>
      </c>
      <c r="F68" s="11" t="s">
        <v>794</v>
      </c>
      <c r="G68" s="11">
        <v>-1</v>
      </c>
      <c r="H68" s="11" t="s">
        <v>794</v>
      </c>
      <c r="I68" s="11">
        <v>0</v>
      </c>
      <c r="J68" s="11">
        <v>30</v>
      </c>
      <c r="K68" s="11">
        <v>0</v>
      </c>
      <c r="L68" s="11" t="s">
        <v>108</v>
      </c>
      <c r="M68" s="6" t="s">
        <v>795</v>
      </c>
      <c r="N68" s="6" t="s">
        <v>919</v>
      </c>
      <c r="O68" s="11" t="str">
        <f t="shared" si="8"/>
        <v>ISP</v>
      </c>
    </row>
    <row r="69" spans="1:15">
      <c r="A69" s="6" t="s">
        <v>920</v>
      </c>
      <c r="B69" s="6" t="s">
        <v>792</v>
      </c>
      <c r="C69" s="6" t="s">
        <v>45</v>
      </c>
      <c r="D69" s="11" t="s">
        <v>793</v>
      </c>
      <c r="E69" s="11">
        <v>1</v>
      </c>
      <c r="F69" s="11" t="s">
        <v>794</v>
      </c>
      <c r="G69" s="11">
        <v>-1</v>
      </c>
      <c r="H69" s="11" t="s">
        <v>794</v>
      </c>
      <c r="I69" s="11">
        <v>0</v>
      </c>
      <c r="J69" s="11">
        <v>30</v>
      </c>
      <c r="K69" s="11">
        <v>0</v>
      </c>
      <c r="L69" s="11" t="s">
        <v>108</v>
      </c>
      <c r="M69" s="6" t="s">
        <v>795</v>
      </c>
      <c r="N69" s="6" t="s">
        <v>921</v>
      </c>
      <c r="O69" s="11" t="str">
        <f t="shared" si="8"/>
        <v>ISP</v>
      </c>
    </row>
    <row r="70" spans="1:15">
      <c r="A70" s="6" t="s">
        <v>922</v>
      </c>
      <c r="B70" s="6" t="s">
        <v>792</v>
      </c>
      <c r="C70" s="6" t="s">
        <v>45</v>
      </c>
      <c r="D70" s="11" t="s">
        <v>793</v>
      </c>
      <c r="E70" s="11">
        <v>1</v>
      </c>
      <c r="F70" s="11" t="s">
        <v>794</v>
      </c>
      <c r="G70" s="11">
        <v>-1</v>
      </c>
      <c r="H70" s="11" t="s">
        <v>794</v>
      </c>
      <c r="I70" s="11">
        <v>0</v>
      </c>
      <c r="J70" s="11">
        <v>30</v>
      </c>
      <c r="K70" s="11">
        <v>0</v>
      </c>
      <c r="L70" s="11" t="s">
        <v>108</v>
      </c>
      <c r="M70" s="6" t="s">
        <v>795</v>
      </c>
      <c r="N70" s="6" t="s">
        <v>923</v>
      </c>
      <c r="O70" s="11" t="str">
        <f t="shared" si="8"/>
        <v>ISP</v>
      </c>
    </row>
    <row r="71" spans="1:15">
      <c r="A71" s="6" t="s">
        <v>924</v>
      </c>
      <c r="B71" s="6" t="s">
        <v>792</v>
      </c>
      <c r="C71" s="6" t="s">
        <v>45</v>
      </c>
      <c r="D71" s="11" t="s">
        <v>793</v>
      </c>
      <c r="E71" s="11">
        <v>1</v>
      </c>
      <c r="F71" s="11" t="s">
        <v>794</v>
      </c>
      <c r="G71" s="11">
        <v>-1</v>
      </c>
      <c r="H71" s="11" t="s">
        <v>794</v>
      </c>
      <c r="I71" s="11">
        <v>0</v>
      </c>
      <c r="J71" s="11">
        <v>30</v>
      </c>
      <c r="K71" s="11">
        <v>0</v>
      </c>
      <c r="L71" s="11" t="s">
        <v>108</v>
      </c>
      <c r="M71" s="6" t="s">
        <v>795</v>
      </c>
      <c r="N71" s="6" t="s">
        <v>925</v>
      </c>
      <c r="O71" s="11" t="str">
        <f t="shared" si="8"/>
        <v>ISP</v>
      </c>
    </row>
    <row r="72" spans="1:15">
      <c r="A72" s="6" t="s">
        <v>926</v>
      </c>
      <c r="B72" s="6" t="s">
        <v>792</v>
      </c>
      <c r="C72" s="6" t="s">
        <v>45</v>
      </c>
      <c r="D72" s="11" t="s">
        <v>793</v>
      </c>
      <c r="E72" s="11">
        <v>1</v>
      </c>
      <c r="F72" s="11" t="s">
        <v>794</v>
      </c>
      <c r="G72" s="11">
        <v>-1</v>
      </c>
      <c r="H72" s="11" t="s">
        <v>794</v>
      </c>
      <c r="I72" s="11">
        <v>0</v>
      </c>
      <c r="J72" s="11">
        <v>30</v>
      </c>
      <c r="K72" s="11">
        <v>0</v>
      </c>
      <c r="L72" s="11" t="s">
        <v>108</v>
      </c>
      <c r="M72" s="6" t="s">
        <v>795</v>
      </c>
      <c r="N72" s="6" t="s">
        <v>927</v>
      </c>
      <c r="O72" s="11" t="str">
        <f t="shared" si="8"/>
        <v>ISP</v>
      </c>
    </row>
    <row r="73" spans="1:15">
      <c r="A73" s="6" t="s">
        <v>928</v>
      </c>
      <c r="B73" s="6" t="s">
        <v>792</v>
      </c>
      <c r="C73" s="6" t="s">
        <v>45</v>
      </c>
      <c r="D73" s="11" t="s">
        <v>793</v>
      </c>
      <c r="E73" s="11">
        <v>1</v>
      </c>
      <c r="F73" s="11" t="s">
        <v>794</v>
      </c>
      <c r="G73" s="11">
        <v>-1</v>
      </c>
      <c r="H73" s="11" t="s">
        <v>794</v>
      </c>
      <c r="I73" s="11">
        <v>0</v>
      </c>
      <c r="J73" s="11">
        <v>30</v>
      </c>
      <c r="K73" s="11">
        <v>0</v>
      </c>
      <c r="L73" s="11" t="s">
        <v>108</v>
      </c>
      <c r="M73" s="6" t="s">
        <v>795</v>
      </c>
      <c r="N73" s="6" t="s">
        <v>929</v>
      </c>
      <c r="O73" s="11" t="str">
        <f t="shared" si="8"/>
        <v>ISP</v>
      </c>
    </row>
    <row r="74" spans="1:15">
      <c r="A74" s="6" t="s">
        <v>930</v>
      </c>
      <c r="B74" s="6" t="s">
        <v>792</v>
      </c>
      <c r="C74" s="6" t="s">
        <v>45</v>
      </c>
      <c r="D74" s="11" t="s">
        <v>793</v>
      </c>
      <c r="E74" s="11">
        <v>1</v>
      </c>
      <c r="F74" s="11" t="s">
        <v>794</v>
      </c>
      <c r="G74" s="11">
        <v>-1</v>
      </c>
      <c r="H74" s="11" t="s">
        <v>794</v>
      </c>
      <c r="I74" s="11">
        <v>0</v>
      </c>
      <c r="J74" s="11">
        <v>30</v>
      </c>
      <c r="K74" s="11">
        <v>0</v>
      </c>
      <c r="L74" s="11" t="s">
        <v>108</v>
      </c>
      <c r="M74" s="6" t="s">
        <v>795</v>
      </c>
      <c r="N74" s="6" t="s">
        <v>931</v>
      </c>
      <c r="O74" s="11" t="str">
        <f t="shared" si="8"/>
        <v>ISP</v>
      </c>
    </row>
    <row r="75" spans="1:15">
      <c r="A75" s="6" t="s">
        <v>932</v>
      </c>
      <c r="B75" s="6" t="s">
        <v>792</v>
      </c>
      <c r="C75" s="6" t="s">
        <v>45</v>
      </c>
      <c r="D75" s="11" t="s">
        <v>793</v>
      </c>
      <c r="E75" s="11">
        <v>1</v>
      </c>
      <c r="F75" s="11" t="s">
        <v>794</v>
      </c>
      <c r="G75" s="11">
        <v>-1</v>
      </c>
      <c r="H75" s="11" t="s">
        <v>794</v>
      </c>
      <c r="I75" s="11">
        <v>0</v>
      </c>
      <c r="J75" s="11">
        <v>30</v>
      </c>
      <c r="K75" s="11">
        <v>0</v>
      </c>
      <c r="L75" s="11" t="s">
        <v>108</v>
      </c>
      <c r="M75" s="6" t="s">
        <v>795</v>
      </c>
      <c r="N75" s="6" t="s">
        <v>933</v>
      </c>
      <c r="O75" s="11" t="str">
        <f t="shared" si="8"/>
        <v>ISP</v>
      </c>
    </row>
    <row r="76" spans="1:15">
      <c r="A76" s="6" t="s">
        <v>934</v>
      </c>
      <c r="B76" s="6" t="s">
        <v>792</v>
      </c>
      <c r="C76" s="6" t="s">
        <v>45</v>
      </c>
      <c r="D76" s="11" t="s">
        <v>793</v>
      </c>
      <c r="E76" s="11">
        <v>1</v>
      </c>
      <c r="F76" s="11" t="s">
        <v>794</v>
      </c>
      <c r="G76" s="11">
        <v>-1</v>
      </c>
      <c r="H76" s="11" t="s">
        <v>794</v>
      </c>
      <c r="I76" s="11">
        <v>0</v>
      </c>
      <c r="J76" s="11">
        <v>30</v>
      </c>
      <c r="K76" s="11">
        <v>0</v>
      </c>
      <c r="L76" s="11" t="s">
        <v>108</v>
      </c>
      <c r="M76" s="6" t="s">
        <v>795</v>
      </c>
      <c r="N76" s="6" t="s">
        <v>935</v>
      </c>
      <c r="O76" s="11" t="str">
        <f t="shared" si="8"/>
        <v>ISP</v>
      </c>
    </row>
    <row r="77" spans="1:15">
      <c r="A77" s="6" t="s">
        <v>936</v>
      </c>
      <c r="B77" s="6" t="s">
        <v>792</v>
      </c>
      <c r="C77" s="6" t="s">
        <v>45</v>
      </c>
      <c r="D77" s="11" t="s">
        <v>793</v>
      </c>
      <c r="E77" s="11">
        <v>1</v>
      </c>
      <c r="F77" s="11" t="s">
        <v>794</v>
      </c>
      <c r="G77" s="11">
        <v>-1</v>
      </c>
      <c r="H77" s="11" t="s">
        <v>794</v>
      </c>
      <c r="I77" s="11">
        <v>0</v>
      </c>
      <c r="J77" s="11">
        <v>30</v>
      </c>
      <c r="K77" s="11">
        <v>0</v>
      </c>
      <c r="L77" s="11" t="s">
        <v>108</v>
      </c>
      <c r="M77" s="6" t="s">
        <v>795</v>
      </c>
      <c r="N77" s="6" t="s">
        <v>937</v>
      </c>
      <c r="O77" s="11" t="str">
        <f t="shared" si="8"/>
        <v>ISP</v>
      </c>
    </row>
    <row r="78" spans="1:15">
      <c r="A78" s="6" t="s">
        <v>938</v>
      </c>
      <c r="B78" s="6" t="s">
        <v>792</v>
      </c>
      <c r="C78" s="6" t="s">
        <v>45</v>
      </c>
      <c r="D78" s="11" t="s">
        <v>793</v>
      </c>
      <c r="E78" s="11">
        <v>1</v>
      </c>
      <c r="F78" s="11" t="s">
        <v>794</v>
      </c>
      <c r="G78" s="11">
        <v>-1</v>
      </c>
      <c r="H78" s="11" t="s">
        <v>794</v>
      </c>
      <c r="I78" s="11">
        <v>0</v>
      </c>
      <c r="J78" s="11">
        <v>30</v>
      </c>
      <c r="K78" s="11">
        <v>0</v>
      </c>
      <c r="L78" s="11" t="s">
        <v>108</v>
      </c>
      <c r="M78" s="6" t="s">
        <v>795</v>
      </c>
      <c r="N78" s="6" t="s">
        <v>939</v>
      </c>
      <c r="O78" s="11" t="str">
        <f t="shared" si="8"/>
        <v>ISP</v>
      </c>
    </row>
    <row r="79" spans="1:15">
      <c r="A79" s="6" t="s">
        <v>916</v>
      </c>
      <c r="B79" s="6" t="s">
        <v>792</v>
      </c>
      <c r="C79" s="6" t="s">
        <v>38</v>
      </c>
      <c r="D79" s="11" t="s">
        <v>793</v>
      </c>
      <c r="E79" s="11">
        <v>1</v>
      </c>
      <c r="F79" s="11" t="s">
        <v>794</v>
      </c>
      <c r="G79" s="11">
        <v>-1</v>
      </c>
      <c r="H79" s="11" t="s">
        <v>794</v>
      </c>
      <c r="I79" s="11">
        <v>0</v>
      </c>
      <c r="J79" s="11">
        <v>2</v>
      </c>
      <c r="K79" s="11">
        <v>0</v>
      </c>
      <c r="L79" s="11" t="s">
        <v>79</v>
      </c>
      <c r="M79" s="6" t="s">
        <v>795</v>
      </c>
      <c r="N79" s="6" t="s">
        <v>917</v>
      </c>
      <c r="O79" s="11" t="str">
        <f t="shared" si="8"/>
        <v>ISP</v>
      </c>
    </row>
    <row r="80" spans="1:15">
      <c r="A80" s="6" t="s">
        <v>940</v>
      </c>
      <c r="B80" s="6" t="s">
        <v>792</v>
      </c>
      <c r="C80" s="6" t="s">
        <v>45</v>
      </c>
      <c r="D80" s="11" t="s">
        <v>793</v>
      </c>
      <c r="E80" s="11">
        <v>1</v>
      </c>
      <c r="F80" s="11" t="s">
        <v>794</v>
      </c>
      <c r="G80" s="11">
        <v>-1</v>
      </c>
      <c r="H80" s="11" t="s">
        <v>794</v>
      </c>
      <c r="I80" s="11">
        <v>0</v>
      </c>
      <c r="J80" s="11">
        <v>1000</v>
      </c>
      <c r="K80" s="11">
        <v>0</v>
      </c>
      <c r="L80" s="11" t="s">
        <v>108</v>
      </c>
      <c r="M80" s="6" t="s">
        <v>795</v>
      </c>
      <c r="N80" s="6" t="s">
        <v>941</v>
      </c>
      <c r="O80" s="11" t="str">
        <f t="shared" ref="O80:O90" si="9">MID(A80,1,3)</f>
        <v>ISP</v>
      </c>
    </row>
    <row r="81" spans="1:15">
      <c r="A81" s="6" t="s">
        <v>942</v>
      </c>
      <c r="B81" s="6" t="s">
        <v>792</v>
      </c>
      <c r="C81" s="6" t="s">
        <v>45</v>
      </c>
      <c r="D81" s="11" t="s">
        <v>793</v>
      </c>
      <c r="E81" s="11">
        <v>1</v>
      </c>
      <c r="F81" s="11" t="s">
        <v>794</v>
      </c>
      <c r="G81" s="11">
        <v>-1</v>
      </c>
      <c r="H81" s="11" t="s">
        <v>794</v>
      </c>
      <c r="I81" s="11">
        <v>0</v>
      </c>
      <c r="J81" s="11">
        <v>1000</v>
      </c>
      <c r="K81" s="11">
        <v>0</v>
      </c>
      <c r="L81" s="11" t="s">
        <v>108</v>
      </c>
      <c r="M81" s="6" t="s">
        <v>795</v>
      </c>
      <c r="N81" s="6" t="s">
        <v>943</v>
      </c>
      <c r="O81" s="11" t="str">
        <f t="shared" si="9"/>
        <v>ISP</v>
      </c>
    </row>
    <row r="82" spans="1:15">
      <c r="A82" s="6" t="s">
        <v>944</v>
      </c>
      <c r="B82" s="6" t="s">
        <v>792</v>
      </c>
      <c r="C82" s="6" t="s">
        <v>45</v>
      </c>
      <c r="D82" s="11" t="s">
        <v>793</v>
      </c>
      <c r="E82" s="11">
        <v>1</v>
      </c>
      <c r="F82" s="11" t="s">
        <v>794</v>
      </c>
      <c r="G82" s="11">
        <v>-1</v>
      </c>
      <c r="H82" s="11" t="s">
        <v>794</v>
      </c>
      <c r="I82" s="11">
        <v>0</v>
      </c>
      <c r="J82" s="11">
        <v>1000</v>
      </c>
      <c r="K82" s="11">
        <v>0</v>
      </c>
      <c r="L82" s="11" t="s">
        <v>108</v>
      </c>
      <c r="M82" s="6" t="s">
        <v>795</v>
      </c>
      <c r="N82" s="6" t="s">
        <v>945</v>
      </c>
      <c r="O82" s="11" t="str">
        <f t="shared" si="9"/>
        <v>ISP</v>
      </c>
    </row>
    <row r="83" spans="1:15">
      <c r="A83" s="6" t="s">
        <v>946</v>
      </c>
      <c r="B83" s="6" t="s">
        <v>792</v>
      </c>
      <c r="C83" s="6" t="s">
        <v>45</v>
      </c>
      <c r="D83" s="11" t="s">
        <v>793</v>
      </c>
      <c r="E83" s="11">
        <v>1</v>
      </c>
      <c r="F83" s="11" t="s">
        <v>794</v>
      </c>
      <c r="G83" s="11">
        <v>-1</v>
      </c>
      <c r="H83" s="11" t="s">
        <v>794</v>
      </c>
      <c r="I83" s="11">
        <v>-2000</v>
      </c>
      <c r="J83" s="11">
        <v>2000</v>
      </c>
      <c r="K83" s="11">
        <v>0</v>
      </c>
      <c r="L83" s="11" t="s">
        <v>217</v>
      </c>
      <c r="M83" s="6" t="s">
        <v>795</v>
      </c>
      <c r="N83" s="6" t="s">
        <v>947</v>
      </c>
      <c r="O83" s="11" t="str">
        <f t="shared" si="9"/>
        <v>ISP</v>
      </c>
    </row>
    <row r="84" spans="1:15">
      <c r="A84" s="6" t="s">
        <v>948</v>
      </c>
      <c r="B84" s="6" t="s">
        <v>792</v>
      </c>
      <c r="C84" s="6" t="s">
        <v>45</v>
      </c>
      <c r="D84" s="11" t="s">
        <v>793</v>
      </c>
      <c r="E84" s="11">
        <v>1</v>
      </c>
      <c r="F84" s="11" t="s">
        <v>794</v>
      </c>
      <c r="G84" s="11">
        <v>-1</v>
      </c>
      <c r="H84" s="11" t="s">
        <v>794</v>
      </c>
      <c r="I84" s="11">
        <v>-2000</v>
      </c>
      <c r="J84" s="11">
        <v>2000</v>
      </c>
      <c r="K84" s="11">
        <v>0</v>
      </c>
      <c r="L84" s="11" t="s">
        <v>217</v>
      </c>
      <c r="M84" s="6" t="s">
        <v>795</v>
      </c>
      <c r="N84" s="6" t="s">
        <v>949</v>
      </c>
      <c r="O84" s="11" t="str">
        <f t="shared" si="9"/>
        <v>ISP</v>
      </c>
    </row>
    <row r="85" spans="1:15">
      <c r="A85" s="6" t="s">
        <v>950</v>
      </c>
      <c r="B85" s="6" t="s">
        <v>792</v>
      </c>
      <c r="C85" s="6" t="s">
        <v>45</v>
      </c>
      <c r="D85" s="11" t="s">
        <v>793</v>
      </c>
      <c r="E85" s="11">
        <v>1</v>
      </c>
      <c r="F85" s="11" t="s">
        <v>794</v>
      </c>
      <c r="G85" s="11">
        <v>-1</v>
      </c>
      <c r="H85" s="11" t="s">
        <v>794</v>
      </c>
      <c r="I85" s="11">
        <v>-2000</v>
      </c>
      <c r="J85" s="11">
        <v>2000</v>
      </c>
      <c r="K85" s="11">
        <v>0</v>
      </c>
      <c r="L85" s="11" t="s">
        <v>217</v>
      </c>
      <c r="M85" s="6" t="s">
        <v>795</v>
      </c>
      <c r="N85" s="6" t="s">
        <v>951</v>
      </c>
      <c r="O85" s="11" t="str">
        <f t="shared" si="9"/>
        <v>ISP</v>
      </c>
    </row>
    <row r="86" spans="1:15">
      <c r="A86" s="6" t="s">
        <v>952</v>
      </c>
      <c r="B86" s="6" t="s">
        <v>792</v>
      </c>
      <c r="C86" s="6" t="s">
        <v>45</v>
      </c>
      <c r="D86" s="11" t="s">
        <v>793</v>
      </c>
      <c r="E86" s="11">
        <v>1</v>
      </c>
      <c r="F86" s="11" t="s">
        <v>794</v>
      </c>
      <c r="G86" s="11">
        <v>-1</v>
      </c>
      <c r="H86" s="11" t="s">
        <v>794</v>
      </c>
      <c r="I86" s="11">
        <v>-2000</v>
      </c>
      <c r="J86" s="11">
        <v>2000</v>
      </c>
      <c r="K86" s="11">
        <v>0</v>
      </c>
      <c r="L86" s="11" t="s">
        <v>217</v>
      </c>
      <c r="M86" s="6" t="s">
        <v>795</v>
      </c>
      <c r="N86" s="6" t="s">
        <v>953</v>
      </c>
      <c r="O86" s="11" t="str">
        <f t="shared" si="9"/>
        <v>ISP</v>
      </c>
    </row>
    <row r="87" spans="1:15">
      <c r="A87" s="6" t="s">
        <v>954</v>
      </c>
      <c r="B87" s="6" t="s">
        <v>792</v>
      </c>
      <c r="C87" s="6" t="s">
        <v>45</v>
      </c>
      <c r="D87" s="11" t="s">
        <v>793</v>
      </c>
      <c r="E87" s="11">
        <v>1</v>
      </c>
      <c r="F87" s="11" t="s">
        <v>794</v>
      </c>
      <c r="G87" s="11">
        <v>-1</v>
      </c>
      <c r="H87" s="11" t="s">
        <v>794</v>
      </c>
      <c r="I87" s="11">
        <v>-12566</v>
      </c>
      <c r="J87" s="11">
        <v>12566</v>
      </c>
      <c r="K87" s="11">
        <v>0</v>
      </c>
      <c r="L87" s="11" t="s">
        <v>201</v>
      </c>
      <c r="M87" s="6" t="s">
        <v>795</v>
      </c>
      <c r="N87" s="6" t="s">
        <v>951</v>
      </c>
      <c r="O87" s="11" t="str">
        <f t="shared" si="9"/>
        <v>ISP</v>
      </c>
    </row>
    <row r="88" spans="1:15">
      <c r="A88" s="6" t="s">
        <v>955</v>
      </c>
      <c r="B88" s="6" t="s">
        <v>792</v>
      </c>
      <c r="C88" s="6" t="s">
        <v>38</v>
      </c>
      <c r="D88" s="11" t="s">
        <v>793</v>
      </c>
      <c r="E88" s="11">
        <v>1</v>
      </c>
      <c r="F88" s="11" t="s">
        <v>794</v>
      </c>
      <c r="G88" s="11">
        <v>-1</v>
      </c>
      <c r="H88" s="11" t="s">
        <v>794</v>
      </c>
      <c r="I88" s="11">
        <v>0</v>
      </c>
      <c r="J88" s="11">
        <v>1</v>
      </c>
      <c r="K88" s="11">
        <v>0</v>
      </c>
      <c r="L88" s="11" t="s">
        <v>79</v>
      </c>
      <c r="M88" s="6" t="s">
        <v>795</v>
      </c>
      <c r="N88" s="6" t="s">
        <v>956</v>
      </c>
      <c r="O88" s="11" t="str">
        <f t="shared" si="9"/>
        <v>ISP</v>
      </c>
    </row>
    <row r="89" spans="1:15">
      <c r="A89" s="6" t="s">
        <v>957</v>
      </c>
      <c r="B89" s="6" t="s">
        <v>792</v>
      </c>
      <c r="C89" s="6" t="s">
        <v>38</v>
      </c>
      <c r="D89" s="11" t="s">
        <v>793</v>
      </c>
      <c r="E89" s="11">
        <v>1</v>
      </c>
      <c r="F89" s="11" t="s">
        <v>794</v>
      </c>
      <c r="G89" s="11">
        <v>-1</v>
      </c>
      <c r="H89" s="11" t="s">
        <v>794</v>
      </c>
      <c r="I89" s="11">
        <v>0</v>
      </c>
      <c r="J89" s="11">
        <v>1</v>
      </c>
      <c r="K89" s="11">
        <v>0</v>
      </c>
      <c r="L89" s="11" t="s">
        <v>79</v>
      </c>
      <c r="M89" s="6" t="s">
        <v>795</v>
      </c>
      <c r="N89" s="6" t="s">
        <v>958</v>
      </c>
      <c r="O89" s="11" t="str">
        <f t="shared" si="9"/>
        <v>ISP</v>
      </c>
    </row>
    <row r="90" spans="1:15">
      <c r="A90" s="6" t="s">
        <v>959</v>
      </c>
      <c r="B90" s="6" t="s">
        <v>792</v>
      </c>
      <c r="C90" s="6" t="s">
        <v>45</v>
      </c>
      <c r="D90" s="11" t="s">
        <v>793</v>
      </c>
      <c r="E90" s="11">
        <v>1</v>
      </c>
      <c r="F90" s="11" t="s">
        <v>794</v>
      </c>
      <c r="G90" s="11">
        <v>-1</v>
      </c>
      <c r="H90" s="11" t="s">
        <v>794</v>
      </c>
      <c r="I90" s="11">
        <v>0</v>
      </c>
      <c r="J90" s="11">
        <v>1000</v>
      </c>
      <c r="K90" s="11">
        <v>0</v>
      </c>
      <c r="L90" s="11" t="s">
        <v>169</v>
      </c>
      <c r="M90" s="6" t="s">
        <v>795</v>
      </c>
      <c r="N90" s="6" t="s">
        <v>960</v>
      </c>
      <c r="O90" s="11" t="str">
        <f t="shared" si="9"/>
        <v>ISP</v>
      </c>
    </row>
    <row r="91" spans="1:15">
      <c r="A91" s="6" t="s">
        <v>961</v>
      </c>
      <c r="B91" s="6" t="s">
        <v>792</v>
      </c>
      <c r="C91" s="6" t="s">
        <v>45</v>
      </c>
      <c r="D91" s="11" t="s">
        <v>793</v>
      </c>
      <c r="E91" s="11">
        <v>1</v>
      </c>
      <c r="F91" s="11" t="s">
        <v>794</v>
      </c>
      <c r="G91" s="11">
        <v>-1</v>
      </c>
      <c r="H91" s="11" t="s">
        <v>794</v>
      </c>
      <c r="I91" s="11">
        <v>0</v>
      </c>
      <c r="J91" s="11">
        <v>1000</v>
      </c>
      <c r="K91" s="11">
        <v>0</v>
      </c>
      <c r="L91" s="11" t="s">
        <v>169</v>
      </c>
      <c r="M91" s="6" t="s">
        <v>795</v>
      </c>
      <c r="N91" s="6" t="s">
        <v>960</v>
      </c>
      <c r="O91" s="11" t="str">
        <f t="shared" ref="O91:O123" si="10">MID(A91,1,3)</f>
        <v>ISP</v>
      </c>
    </row>
    <row r="92" spans="1:15">
      <c r="A92" s="6" t="s">
        <v>962</v>
      </c>
      <c r="B92" s="6" t="s">
        <v>792</v>
      </c>
      <c r="C92" s="6" t="s">
        <v>45</v>
      </c>
      <c r="D92" s="11" t="s">
        <v>793</v>
      </c>
      <c r="E92" s="11">
        <v>1</v>
      </c>
      <c r="F92" s="11" t="s">
        <v>794</v>
      </c>
      <c r="G92" s="11">
        <v>-1</v>
      </c>
      <c r="H92" s="11" t="s">
        <v>794</v>
      </c>
      <c r="I92" s="11">
        <v>0</v>
      </c>
      <c r="J92" s="11">
        <v>1000</v>
      </c>
      <c r="K92" s="11">
        <v>0</v>
      </c>
      <c r="L92" s="11" t="s">
        <v>169</v>
      </c>
      <c r="M92" s="6" t="s">
        <v>795</v>
      </c>
      <c r="N92" s="6" t="s">
        <v>960</v>
      </c>
      <c r="O92" s="11" t="str">
        <f t="shared" si="10"/>
        <v>ISP</v>
      </c>
    </row>
    <row r="93" spans="1:15">
      <c r="A93" s="6" t="s">
        <v>963</v>
      </c>
      <c r="B93" s="6" t="s">
        <v>792</v>
      </c>
      <c r="C93" s="6" t="s">
        <v>45</v>
      </c>
      <c r="D93" s="11" t="s">
        <v>793</v>
      </c>
      <c r="E93" s="11">
        <v>1</v>
      </c>
      <c r="F93" s="11" t="s">
        <v>794</v>
      </c>
      <c r="G93" s="11">
        <v>-1</v>
      </c>
      <c r="H93" s="11" t="s">
        <v>794</v>
      </c>
      <c r="I93" s="11">
        <v>0</v>
      </c>
      <c r="J93" s="11">
        <v>1000</v>
      </c>
      <c r="K93" s="11">
        <v>0</v>
      </c>
      <c r="L93" s="11" t="s">
        <v>169</v>
      </c>
      <c r="M93" s="6" t="s">
        <v>795</v>
      </c>
      <c r="N93" s="6" t="s">
        <v>960</v>
      </c>
      <c r="O93" s="11" t="str">
        <f t="shared" si="10"/>
        <v>ISP</v>
      </c>
    </row>
    <row r="94" spans="1:15">
      <c r="A94" s="6" t="s">
        <v>964</v>
      </c>
      <c r="B94" s="6" t="s">
        <v>792</v>
      </c>
      <c r="C94" s="6" t="s">
        <v>45</v>
      </c>
      <c r="D94" s="11" t="s">
        <v>793</v>
      </c>
      <c r="E94" s="11">
        <v>1</v>
      </c>
      <c r="F94" s="11" t="s">
        <v>794</v>
      </c>
      <c r="G94" s="11">
        <v>-1</v>
      </c>
      <c r="H94" s="11" t="s">
        <v>794</v>
      </c>
      <c r="I94" s="11">
        <v>0</v>
      </c>
      <c r="J94" s="11">
        <v>1000</v>
      </c>
      <c r="K94" s="11">
        <v>0</v>
      </c>
      <c r="L94" s="11" t="s">
        <v>169</v>
      </c>
      <c r="M94" s="6" t="s">
        <v>795</v>
      </c>
      <c r="N94" s="6" t="s">
        <v>960</v>
      </c>
      <c r="O94" s="11" t="str">
        <f t="shared" si="10"/>
        <v>ISP</v>
      </c>
    </row>
    <row r="95" spans="1:15">
      <c r="A95" s="6" t="s">
        <v>965</v>
      </c>
      <c r="B95" s="6" t="s">
        <v>792</v>
      </c>
      <c r="C95" s="6" t="s">
        <v>45</v>
      </c>
      <c r="D95" s="11" t="s">
        <v>793</v>
      </c>
      <c r="E95" s="11">
        <v>1</v>
      </c>
      <c r="F95" s="11" t="s">
        <v>794</v>
      </c>
      <c r="G95" s="11">
        <v>-1</v>
      </c>
      <c r="H95" s="11" t="s">
        <v>794</v>
      </c>
      <c r="I95" s="11">
        <v>0</v>
      </c>
      <c r="J95" s="11">
        <v>1000</v>
      </c>
      <c r="K95" s="11">
        <v>0</v>
      </c>
      <c r="L95" s="11" t="s">
        <v>169</v>
      </c>
      <c r="M95" s="6" t="s">
        <v>795</v>
      </c>
      <c r="N95" s="6" t="s">
        <v>960</v>
      </c>
      <c r="O95" s="11" t="str">
        <f t="shared" si="10"/>
        <v>ISP</v>
      </c>
    </row>
    <row r="96" spans="1:15">
      <c r="A96" s="6" t="s">
        <v>966</v>
      </c>
      <c r="B96" s="6" t="s">
        <v>792</v>
      </c>
      <c r="C96" s="6" t="s">
        <v>45</v>
      </c>
      <c r="D96" s="11" t="s">
        <v>793</v>
      </c>
      <c r="E96" s="11">
        <v>1</v>
      </c>
      <c r="F96" s="11" t="s">
        <v>794</v>
      </c>
      <c r="G96" s="11">
        <v>-1</v>
      </c>
      <c r="H96" s="11" t="s">
        <v>794</v>
      </c>
      <c r="I96" s="11">
        <v>0</v>
      </c>
      <c r="J96" s="11">
        <v>1000</v>
      </c>
      <c r="K96" s="11">
        <v>0</v>
      </c>
      <c r="L96" s="11" t="s">
        <v>169</v>
      </c>
      <c r="M96" s="6" t="s">
        <v>795</v>
      </c>
      <c r="N96" s="6" t="s">
        <v>960</v>
      </c>
      <c r="O96" s="11" t="str">
        <f t="shared" si="10"/>
        <v>ISP</v>
      </c>
    </row>
    <row r="97" spans="1:15">
      <c r="A97" s="6" t="s">
        <v>967</v>
      </c>
      <c r="B97" s="6" t="s">
        <v>792</v>
      </c>
      <c r="C97" s="6" t="s">
        <v>45</v>
      </c>
      <c r="D97" s="11" t="s">
        <v>793</v>
      </c>
      <c r="E97" s="11">
        <v>1</v>
      </c>
      <c r="F97" s="11" t="s">
        <v>794</v>
      </c>
      <c r="G97" s="11">
        <v>-1</v>
      </c>
      <c r="H97" s="11" t="s">
        <v>794</v>
      </c>
      <c r="I97" s="11">
        <v>0</v>
      </c>
      <c r="J97" s="11">
        <v>1000</v>
      </c>
      <c r="K97" s="11">
        <v>0</v>
      </c>
      <c r="L97" s="11" t="s">
        <v>169</v>
      </c>
      <c r="M97" s="6" t="s">
        <v>795</v>
      </c>
      <c r="N97" s="6" t="s">
        <v>960</v>
      </c>
      <c r="O97" s="11" t="str">
        <f t="shared" si="10"/>
        <v>ISP</v>
      </c>
    </row>
    <row r="98" spans="1:15">
      <c r="A98" s="6" t="s">
        <v>968</v>
      </c>
      <c r="B98" s="6" t="s">
        <v>792</v>
      </c>
      <c r="C98" s="6" t="s">
        <v>45</v>
      </c>
      <c r="D98" s="11" t="s">
        <v>793</v>
      </c>
      <c r="E98" s="11">
        <v>1</v>
      </c>
      <c r="F98" s="11" t="s">
        <v>794</v>
      </c>
      <c r="G98" s="11">
        <v>-1</v>
      </c>
      <c r="H98" s="11" t="s">
        <v>794</v>
      </c>
      <c r="I98" s="11">
        <v>0</v>
      </c>
      <c r="J98" s="11">
        <v>1000</v>
      </c>
      <c r="K98" s="11">
        <v>0</v>
      </c>
      <c r="L98" s="11" t="s">
        <v>169</v>
      </c>
      <c r="M98" s="6" t="s">
        <v>795</v>
      </c>
      <c r="N98" s="6" t="s">
        <v>960</v>
      </c>
      <c r="O98" s="11" t="str">
        <f t="shared" si="10"/>
        <v>ISP</v>
      </c>
    </row>
    <row r="99" spans="1:15">
      <c r="A99" s="6" t="s">
        <v>969</v>
      </c>
      <c r="B99" s="6" t="s">
        <v>792</v>
      </c>
      <c r="C99" s="6" t="s">
        <v>45</v>
      </c>
      <c r="D99" s="11" t="s">
        <v>793</v>
      </c>
      <c r="E99" s="11">
        <v>1</v>
      </c>
      <c r="F99" s="11" t="s">
        <v>794</v>
      </c>
      <c r="G99" s="11">
        <v>-1</v>
      </c>
      <c r="H99" s="11" t="s">
        <v>794</v>
      </c>
      <c r="I99" s="11">
        <v>0</v>
      </c>
      <c r="J99" s="11">
        <v>1000</v>
      </c>
      <c r="K99" s="11">
        <v>0</v>
      </c>
      <c r="L99" s="11" t="s">
        <v>169</v>
      </c>
      <c r="M99" s="6" t="s">
        <v>795</v>
      </c>
      <c r="N99" s="6" t="s">
        <v>960</v>
      </c>
      <c r="O99" s="11" t="str">
        <f t="shared" si="10"/>
        <v>ISP</v>
      </c>
    </row>
    <row r="100" spans="1:15">
      <c r="A100" s="6" t="s">
        <v>970</v>
      </c>
      <c r="B100" s="6" t="s">
        <v>792</v>
      </c>
      <c r="C100" s="6" t="s">
        <v>45</v>
      </c>
      <c r="D100" s="11" t="s">
        <v>793</v>
      </c>
      <c r="E100" s="11">
        <v>1</v>
      </c>
      <c r="F100" s="11" t="s">
        <v>794</v>
      </c>
      <c r="G100" s="11">
        <v>-1</v>
      </c>
      <c r="H100" s="11" t="s">
        <v>794</v>
      </c>
      <c r="I100" s="11">
        <v>0</v>
      </c>
      <c r="J100" s="11">
        <v>1000</v>
      </c>
      <c r="K100" s="11">
        <v>0</v>
      </c>
      <c r="L100" s="11" t="s">
        <v>169</v>
      </c>
      <c r="M100" s="6" t="s">
        <v>795</v>
      </c>
      <c r="N100" s="6" t="s">
        <v>960</v>
      </c>
      <c r="O100" s="11" t="str">
        <f t="shared" si="10"/>
        <v>ISP</v>
      </c>
    </row>
    <row r="101" spans="1:15">
      <c r="A101" s="6" t="s">
        <v>971</v>
      </c>
      <c r="B101" s="6" t="s">
        <v>792</v>
      </c>
      <c r="C101" s="6" t="s">
        <v>45</v>
      </c>
      <c r="D101" s="11" t="s">
        <v>793</v>
      </c>
      <c r="E101" s="11">
        <v>1</v>
      </c>
      <c r="F101" s="11" t="s">
        <v>794</v>
      </c>
      <c r="G101" s="11">
        <v>-1</v>
      </c>
      <c r="H101" s="11" t="s">
        <v>794</v>
      </c>
      <c r="I101" s="11">
        <v>0</v>
      </c>
      <c r="J101" s="11">
        <v>1000</v>
      </c>
      <c r="K101" s="11">
        <v>0</v>
      </c>
      <c r="L101" s="11" t="s">
        <v>169</v>
      </c>
      <c r="M101" s="6" t="s">
        <v>795</v>
      </c>
      <c r="N101" s="6" t="s">
        <v>960</v>
      </c>
      <c r="O101" s="11" t="str">
        <f t="shared" si="10"/>
        <v>ISP</v>
      </c>
    </row>
    <row r="102" spans="1:15">
      <c r="A102" s="6" t="s">
        <v>972</v>
      </c>
      <c r="B102" s="6" t="s">
        <v>792</v>
      </c>
      <c r="C102" s="6" t="s">
        <v>45</v>
      </c>
      <c r="D102" s="11" t="s">
        <v>793</v>
      </c>
      <c r="E102" s="11">
        <v>1</v>
      </c>
      <c r="F102" s="11" t="s">
        <v>794</v>
      </c>
      <c r="G102" s="11">
        <v>-1</v>
      </c>
      <c r="H102" s="11" t="s">
        <v>794</v>
      </c>
      <c r="I102" s="11">
        <v>0</v>
      </c>
      <c r="J102" s="11">
        <v>5000</v>
      </c>
      <c r="K102" s="11">
        <v>0</v>
      </c>
      <c r="L102" s="11" t="s">
        <v>169</v>
      </c>
      <c r="M102" s="6" t="s">
        <v>795</v>
      </c>
      <c r="N102" s="6" t="s">
        <v>960</v>
      </c>
      <c r="O102" s="11" t="str">
        <f t="shared" si="10"/>
        <v>ISP</v>
      </c>
    </row>
    <row r="103" spans="1:15">
      <c r="A103" s="6" t="s">
        <v>973</v>
      </c>
      <c r="B103" s="6" t="s">
        <v>792</v>
      </c>
      <c r="C103" s="6" t="s">
        <v>45</v>
      </c>
      <c r="D103" s="11" t="s">
        <v>793</v>
      </c>
      <c r="E103" s="11">
        <v>1</v>
      </c>
      <c r="F103" s="11" t="s">
        <v>794</v>
      </c>
      <c r="G103" s="11">
        <v>-1</v>
      </c>
      <c r="H103" s="11" t="s">
        <v>794</v>
      </c>
      <c r="I103" s="11">
        <v>0</v>
      </c>
      <c r="J103" s="11">
        <v>20000</v>
      </c>
      <c r="K103" s="11">
        <v>0</v>
      </c>
      <c r="L103" s="11" t="s">
        <v>169</v>
      </c>
      <c r="M103" s="6" t="s">
        <v>795</v>
      </c>
      <c r="N103" s="6" t="s">
        <v>974</v>
      </c>
      <c r="O103" s="11" t="str">
        <f t="shared" si="10"/>
        <v>ISP</v>
      </c>
    </row>
    <row r="104" spans="1:15">
      <c r="A104" s="6" t="s">
        <v>975</v>
      </c>
      <c r="B104" s="6" t="s">
        <v>792</v>
      </c>
      <c r="C104" s="6" t="s">
        <v>45</v>
      </c>
      <c r="D104" s="11" t="s">
        <v>793</v>
      </c>
      <c r="E104" s="11">
        <v>1</v>
      </c>
      <c r="F104" s="11" t="s">
        <v>794</v>
      </c>
      <c r="G104" s="11">
        <v>-1</v>
      </c>
      <c r="H104" s="11" t="s">
        <v>794</v>
      </c>
      <c r="I104" s="11">
        <v>-50</v>
      </c>
      <c r="J104" s="11">
        <v>200</v>
      </c>
      <c r="K104" s="11">
        <v>0</v>
      </c>
      <c r="L104" s="11" t="s">
        <v>169</v>
      </c>
      <c r="M104" s="6" t="s">
        <v>795</v>
      </c>
      <c r="N104" s="6" t="s">
        <v>976</v>
      </c>
      <c r="O104" s="11" t="str">
        <f t="shared" si="10"/>
        <v>ISP</v>
      </c>
    </row>
    <row r="105" spans="1:15">
      <c r="A105" s="6" t="s">
        <v>977</v>
      </c>
      <c r="B105" s="6" t="s">
        <v>792</v>
      </c>
      <c r="C105" s="6" t="s">
        <v>45</v>
      </c>
      <c r="D105" s="11" t="s">
        <v>793</v>
      </c>
      <c r="E105" s="11">
        <v>1</v>
      </c>
      <c r="F105" s="11" t="s">
        <v>794</v>
      </c>
      <c r="G105" s="11">
        <v>-1</v>
      </c>
      <c r="H105" s="11" t="s">
        <v>794</v>
      </c>
      <c r="I105" s="11">
        <v>-50</v>
      </c>
      <c r="J105" s="11">
        <v>200</v>
      </c>
      <c r="K105" s="11">
        <v>0</v>
      </c>
      <c r="L105" s="11" t="s">
        <v>354</v>
      </c>
      <c r="M105" s="6" t="s">
        <v>795</v>
      </c>
      <c r="N105" s="6" t="s">
        <v>976</v>
      </c>
      <c r="O105" s="11" t="str">
        <f t="shared" si="10"/>
        <v>ISP</v>
      </c>
    </row>
    <row r="106" spans="1:15">
      <c r="A106" s="6" t="s">
        <v>978</v>
      </c>
      <c r="B106" s="6" t="s">
        <v>792</v>
      </c>
      <c r="C106" s="6" t="s">
        <v>45</v>
      </c>
      <c r="D106" s="11" t="s">
        <v>793</v>
      </c>
      <c r="E106" s="11">
        <v>1</v>
      </c>
      <c r="F106" s="11" t="s">
        <v>794</v>
      </c>
      <c r="G106" s="11">
        <v>-1</v>
      </c>
      <c r="H106" s="11" t="s">
        <v>794</v>
      </c>
      <c r="I106" s="11">
        <v>-50</v>
      </c>
      <c r="J106" s="11">
        <v>200</v>
      </c>
      <c r="K106" s="11">
        <v>0</v>
      </c>
      <c r="L106" s="11" t="s">
        <v>354</v>
      </c>
      <c r="M106" s="6" t="s">
        <v>795</v>
      </c>
      <c r="N106" s="6" t="s">
        <v>976</v>
      </c>
      <c r="O106" s="11" t="str">
        <f t="shared" si="10"/>
        <v>ISP</v>
      </c>
    </row>
    <row r="107" spans="1:15">
      <c r="A107" s="6" t="s">
        <v>979</v>
      </c>
      <c r="B107" s="6" t="s">
        <v>792</v>
      </c>
      <c r="C107" s="6" t="s">
        <v>45</v>
      </c>
      <c r="D107" s="11" t="s">
        <v>793</v>
      </c>
      <c r="E107" s="11">
        <v>1</v>
      </c>
      <c r="F107" s="11" t="s">
        <v>794</v>
      </c>
      <c r="G107" s="11">
        <v>-1</v>
      </c>
      <c r="H107" s="11" t="s">
        <v>794</v>
      </c>
      <c r="I107" s="11">
        <v>-50</v>
      </c>
      <c r="J107" s="11">
        <v>200</v>
      </c>
      <c r="K107" s="11">
        <v>0</v>
      </c>
      <c r="L107" s="11" t="s">
        <v>354</v>
      </c>
      <c r="M107" s="6" t="s">
        <v>795</v>
      </c>
      <c r="N107" s="6" t="s">
        <v>976</v>
      </c>
      <c r="O107" s="11" t="str">
        <f t="shared" si="10"/>
        <v>ISP</v>
      </c>
    </row>
    <row r="108" spans="1:15">
      <c r="A108" s="6" t="s">
        <v>980</v>
      </c>
      <c r="B108" s="6" t="s">
        <v>792</v>
      </c>
      <c r="C108" s="6" t="s">
        <v>45</v>
      </c>
      <c r="D108" s="11" t="s">
        <v>793</v>
      </c>
      <c r="E108" s="11">
        <v>1</v>
      </c>
      <c r="F108" s="11" t="s">
        <v>794</v>
      </c>
      <c r="G108" s="11">
        <v>-1</v>
      </c>
      <c r="H108" s="11" t="s">
        <v>794</v>
      </c>
      <c r="I108" s="11">
        <v>-50</v>
      </c>
      <c r="J108" s="11">
        <v>200</v>
      </c>
      <c r="K108" s="11">
        <v>0</v>
      </c>
      <c r="L108" s="11" t="s">
        <v>354</v>
      </c>
      <c r="M108" s="6" t="s">
        <v>795</v>
      </c>
      <c r="N108" s="6" t="s">
        <v>976</v>
      </c>
      <c r="O108" s="11" t="str">
        <f t="shared" si="10"/>
        <v>ISP</v>
      </c>
    </row>
    <row r="109" spans="1:15">
      <c r="A109" s="6" t="s">
        <v>981</v>
      </c>
      <c r="B109" s="6" t="s">
        <v>792</v>
      </c>
      <c r="C109" s="6" t="s">
        <v>45</v>
      </c>
      <c r="D109" s="11" t="s">
        <v>793</v>
      </c>
      <c r="E109" s="11">
        <v>1</v>
      </c>
      <c r="F109" s="11" t="s">
        <v>794</v>
      </c>
      <c r="G109" s="11">
        <v>-1</v>
      </c>
      <c r="H109" s="11" t="s">
        <v>794</v>
      </c>
      <c r="I109" s="11">
        <v>-50</v>
      </c>
      <c r="J109" s="11">
        <v>200</v>
      </c>
      <c r="K109" s="11">
        <v>0</v>
      </c>
      <c r="L109" s="11" t="s">
        <v>354</v>
      </c>
      <c r="M109" s="6" t="s">
        <v>795</v>
      </c>
      <c r="N109" s="6" t="s">
        <v>976</v>
      </c>
      <c r="O109" s="11" t="str">
        <f t="shared" si="10"/>
        <v>ISP</v>
      </c>
    </row>
    <row r="110" spans="1:15">
      <c r="A110" s="6" t="s">
        <v>982</v>
      </c>
      <c r="B110" s="6" t="s">
        <v>792</v>
      </c>
      <c r="C110" s="6" t="s">
        <v>45</v>
      </c>
      <c r="D110" s="11" t="s">
        <v>793</v>
      </c>
      <c r="E110" s="11">
        <v>1</v>
      </c>
      <c r="F110" s="11" t="s">
        <v>794</v>
      </c>
      <c r="G110" s="11">
        <v>-1</v>
      </c>
      <c r="H110" s="11" t="s">
        <v>794</v>
      </c>
      <c r="I110" s="11">
        <v>-50</v>
      </c>
      <c r="J110" s="11">
        <v>200</v>
      </c>
      <c r="K110" s="11">
        <v>0</v>
      </c>
      <c r="L110" s="11" t="s">
        <v>354</v>
      </c>
      <c r="M110" s="6" t="s">
        <v>795</v>
      </c>
      <c r="N110" s="6" t="s">
        <v>976</v>
      </c>
      <c r="O110" s="11" t="str">
        <f t="shared" si="10"/>
        <v>ISP</v>
      </c>
    </row>
    <row r="111" spans="1:15">
      <c r="A111" s="6" t="s">
        <v>983</v>
      </c>
      <c r="B111" s="6" t="s">
        <v>792</v>
      </c>
      <c r="C111" s="6" t="s">
        <v>45</v>
      </c>
      <c r="D111" s="11" t="s">
        <v>793</v>
      </c>
      <c r="E111" s="11">
        <v>1</v>
      </c>
      <c r="F111" s="11" t="s">
        <v>794</v>
      </c>
      <c r="G111" s="11">
        <v>-1</v>
      </c>
      <c r="H111" s="11" t="s">
        <v>794</v>
      </c>
      <c r="I111" s="11">
        <v>-50</v>
      </c>
      <c r="J111" s="11">
        <v>200</v>
      </c>
      <c r="K111" s="11">
        <v>0</v>
      </c>
      <c r="L111" s="11" t="s">
        <v>354</v>
      </c>
      <c r="M111" s="6" t="s">
        <v>795</v>
      </c>
      <c r="N111" s="6" t="s">
        <v>976</v>
      </c>
      <c r="O111" s="11" t="str">
        <f t="shared" si="10"/>
        <v>ISP</v>
      </c>
    </row>
    <row r="112" spans="1:15">
      <c r="A112" s="6" t="s">
        <v>984</v>
      </c>
      <c r="B112" s="6" t="s">
        <v>792</v>
      </c>
      <c r="C112" s="6" t="s">
        <v>45</v>
      </c>
      <c r="D112" s="11" t="s">
        <v>793</v>
      </c>
      <c r="E112" s="11">
        <v>1</v>
      </c>
      <c r="F112" s="11" t="s">
        <v>794</v>
      </c>
      <c r="G112" s="11">
        <v>-1</v>
      </c>
      <c r="H112" s="11" t="s">
        <v>794</v>
      </c>
      <c r="I112" s="11">
        <v>-50</v>
      </c>
      <c r="J112" s="11">
        <v>200</v>
      </c>
      <c r="K112" s="11">
        <v>0</v>
      </c>
      <c r="L112" s="11" t="s">
        <v>354</v>
      </c>
      <c r="M112" s="6" t="s">
        <v>795</v>
      </c>
      <c r="N112" s="6" t="s">
        <v>976</v>
      </c>
      <c r="O112" s="11" t="str">
        <f t="shared" si="10"/>
        <v>ISP</v>
      </c>
    </row>
    <row r="113" spans="1:15">
      <c r="A113" s="6" t="s">
        <v>985</v>
      </c>
      <c r="B113" s="6" t="s">
        <v>792</v>
      </c>
      <c r="C113" s="6" t="s">
        <v>45</v>
      </c>
      <c r="D113" s="11" t="s">
        <v>793</v>
      </c>
      <c r="E113" s="11">
        <v>1</v>
      </c>
      <c r="F113" s="11" t="s">
        <v>794</v>
      </c>
      <c r="G113" s="11">
        <v>-1</v>
      </c>
      <c r="H113" s="11" t="s">
        <v>794</v>
      </c>
      <c r="I113" s="11">
        <v>-50</v>
      </c>
      <c r="J113" s="11">
        <v>200</v>
      </c>
      <c r="K113" s="11">
        <v>0</v>
      </c>
      <c r="L113" s="11" t="s">
        <v>354</v>
      </c>
      <c r="M113" s="6" t="s">
        <v>795</v>
      </c>
      <c r="N113" s="6" t="s">
        <v>976</v>
      </c>
      <c r="O113" s="11" t="str">
        <f t="shared" si="10"/>
        <v>ISP</v>
      </c>
    </row>
    <row r="114" spans="1:15">
      <c r="A114" s="6" t="s">
        <v>986</v>
      </c>
      <c r="B114" s="6" t="s">
        <v>792</v>
      </c>
      <c r="C114" s="6" t="s">
        <v>45</v>
      </c>
      <c r="D114" s="11" t="s">
        <v>793</v>
      </c>
      <c r="E114" s="11">
        <v>1</v>
      </c>
      <c r="F114" s="11" t="s">
        <v>794</v>
      </c>
      <c r="G114" s="11">
        <v>-1</v>
      </c>
      <c r="H114" s="11" t="s">
        <v>794</v>
      </c>
      <c r="I114" s="11">
        <v>-50</v>
      </c>
      <c r="J114" s="11">
        <v>200</v>
      </c>
      <c r="K114" s="11">
        <v>0</v>
      </c>
      <c r="L114" s="11" t="s">
        <v>354</v>
      </c>
      <c r="M114" s="6" t="s">
        <v>795</v>
      </c>
      <c r="N114" s="6" t="s">
        <v>976</v>
      </c>
      <c r="O114" s="11" t="str">
        <f t="shared" si="10"/>
        <v>ISP</v>
      </c>
    </row>
    <row r="115" spans="1:15">
      <c r="A115" s="6" t="s">
        <v>987</v>
      </c>
      <c r="B115" s="6" t="s">
        <v>792</v>
      </c>
      <c r="C115" s="6" t="s">
        <v>45</v>
      </c>
      <c r="D115" s="11" t="s">
        <v>793</v>
      </c>
      <c r="E115" s="11">
        <v>1</v>
      </c>
      <c r="F115" s="11" t="s">
        <v>794</v>
      </c>
      <c r="G115" s="11">
        <v>-1</v>
      </c>
      <c r="H115" s="11" t="s">
        <v>794</v>
      </c>
      <c r="I115" s="11">
        <v>-50</v>
      </c>
      <c r="J115" s="11">
        <v>200</v>
      </c>
      <c r="K115" s="11">
        <v>0</v>
      </c>
      <c r="L115" s="11" t="s">
        <v>354</v>
      </c>
      <c r="M115" s="6" t="s">
        <v>795</v>
      </c>
      <c r="N115" s="6" t="s">
        <v>976</v>
      </c>
      <c r="O115" s="11" t="str">
        <f t="shared" si="10"/>
        <v>ISP</v>
      </c>
    </row>
    <row r="116" spans="1:15">
      <c r="A116" s="6" t="s">
        <v>988</v>
      </c>
      <c r="B116" s="6" t="s">
        <v>792</v>
      </c>
      <c r="C116" s="6" t="s">
        <v>45</v>
      </c>
      <c r="D116" s="11" t="s">
        <v>793</v>
      </c>
      <c r="E116" s="11">
        <v>1</v>
      </c>
      <c r="F116" s="11" t="s">
        <v>794</v>
      </c>
      <c r="G116" s="11">
        <v>-1</v>
      </c>
      <c r="H116" s="11" t="s">
        <v>794</v>
      </c>
      <c r="I116" s="11">
        <v>-50</v>
      </c>
      <c r="J116" s="11">
        <v>200</v>
      </c>
      <c r="K116" s="11">
        <v>0</v>
      </c>
      <c r="L116" s="11" t="s">
        <v>354</v>
      </c>
      <c r="M116" s="6" t="s">
        <v>795</v>
      </c>
      <c r="N116" s="6" t="s">
        <v>989</v>
      </c>
      <c r="O116" s="11" t="str">
        <f t="shared" si="10"/>
        <v>ISP</v>
      </c>
    </row>
    <row r="117" spans="1:15">
      <c r="A117" s="6" t="s">
        <v>990</v>
      </c>
      <c r="B117" s="6" t="s">
        <v>792</v>
      </c>
      <c r="C117" s="6" t="s">
        <v>45</v>
      </c>
      <c r="D117" s="11" t="s">
        <v>793</v>
      </c>
      <c r="E117" s="11">
        <v>1</v>
      </c>
      <c r="F117" s="11" t="s">
        <v>794</v>
      </c>
      <c r="G117" s="11">
        <v>-1</v>
      </c>
      <c r="H117" s="11" t="s">
        <v>794</v>
      </c>
      <c r="I117" s="11">
        <v>-50</v>
      </c>
      <c r="J117" s="11">
        <v>200</v>
      </c>
      <c r="K117" s="11">
        <v>0</v>
      </c>
      <c r="L117" s="11" t="s">
        <v>354</v>
      </c>
      <c r="M117" s="6" t="s">
        <v>795</v>
      </c>
      <c r="N117" s="6" t="s">
        <v>976</v>
      </c>
      <c r="O117" s="11" t="str">
        <f t="shared" si="10"/>
        <v>ISP</v>
      </c>
    </row>
    <row r="118" spans="1:15">
      <c r="A118" s="6" t="s">
        <v>991</v>
      </c>
      <c r="B118" s="6" t="s">
        <v>792</v>
      </c>
      <c r="C118" s="6" t="s">
        <v>45</v>
      </c>
      <c r="D118" s="11" t="s">
        <v>793</v>
      </c>
      <c r="E118" s="11">
        <v>1</v>
      </c>
      <c r="F118" s="11" t="s">
        <v>794</v>
      </c>
      <c r="G118" s="11">
        <v>-1</v>
      </c>
      <c r="H118" s="11" t="s">
        <v>794</v>
      </c>
      <c r="I118" s="11">
        <v>-50</v>
      </c>
      <c r="J118" s="11">
        <v>200</v>
      </c>
      <c r="K118" s="11">
        <v>0</v>
      </c>
      <c r="L118" s="11" t="s">
        <v>354</v>
      </c>
      <c r="M118" s="6" t="s">
        <v>795</v>
      </c>
      <c r="N118" s="6" t="s">
        <v>992</v>
      </c>
      <c r="O118" s="11" t="str">
        <f t="shared" si="10"/>
        <v>ISP</v>
      </c>
    </row>
    <row r="119" spans="1:15">
      <c r="A119" s="6" t="s">
        <v>993</v>
      </c>
      <c r="B119" s="6" t="s">
        <v>792</v>
      </c>
      <c r="C119" s="6" t="s">
        <v>45</v>
      </c>
      <c r="D119" s="11" t="s">
        <v>793</v>
      </c>
      <c r="E119" s="11">
        <v>1</v>
      </c>
      <c r="F119" s="11" t="s">
        <v>794</v>
      </c>
      <c r="G119" s="11">
        <v>-1</v>
      </c>
      <c r="H119" s="11" t="s">
        <v>794</v>
      </c>
      <c r="I119" s="11">
        <v>-50</v>
      </c>
      <c r="J119" s="11">
        <v>200</v>
      </c>
      <c r="K119" s="11">
        <v>0</v>
      </c>
      <c r="L119" s="11" t="s">
        <v>354</v>
      </c>
      <c r="M119" s="6" t="s">
        <v>795</v>
      </c>
      <c r="N119" s="6" t="s">
        <v>994</v>
      </c>
      <c r="O119" s="11" t="str">
        <f t="shared" si="10"/>
        <v>ISP</v>
      </c>
    </row>
    <row r="120" spans="1:15">
      <c r="A120" s="6" t="s">
        <v>995</v>
      </c>
      <c r="B120" s="6" t="s">
        <v>792</v>
      </c>
      <c r="C120" s="6" t="s">
        <v>45</v>
      </c>
      <c r="D120" s="11" t="s">
        <v>793</v>
      </c>
      <c r="E120" s="11">
        <v>1</v>
      </c>
      <c r="F120" s="11" t="s">
        <v>794</v>
      </c>
      <c r="G120" s="11">
        <v>-1</v>
      </c>
      <c r="H120" s="11" t="s">
        <v>794</v>
      </c>
      <c r="I120" s="11">
        <v>-50</v>
      </c>
      <c r="J120" s="11">
        <v>200</v>
      </c>
      <c r="K120" s="11">
        <v>0</v>
      </c>
      <c r="L120" s="11" t="s">
        <v>354</v>
      </c>
      <c r="M120" s="6" t="s">
        <v>795</v>
      </c>
      <c r="N120" s="6" t="s">
        <v>996</v>
      </c>
      <c r="O120" s="11" t="str">
        <f t="shared" si="10"/>
        <v>ISP</v>
      </c>
    </row>
    <row r="121" spans="1:15">
      <c r="A121" s="6" t="s">
        <v>997</v>
      </c>
      <c r="B121" s="6" t="s">
        <v>792</v>
      </c>
      <c r="C121" s="6" t="s">
        <v>45</v>
      </c>
      <c r="D121" s="11" t="s">
        <v>793</v>
      </c>
      <c r="E121" s="11">
        <v>1</v>
      </c>
      <c r="F121" s="11" t="s">
        <v>794</v>
      </c>
      <c r="G121" s="11">
        <v>-1</v>
      </c>
      <c r="H121" s="11" t="s">
        <v>794</v>
      </c>
      <c r="I121" s="11">
        <v>-50</v>
      </c>
      <c r="J121" s="11">
        <v>1000</v>
      </c>
      <c r="K121" s="11">
        <v>0</v>
      </c>
      <c r="L121" s="11" t="s">
        <v>169</v>
      </c>
      <c r="M121" s="6" t="s">
        <v>795</v>
      </c>
      <c r="N121" s="6" t="s">
        <v>998</v>
      </c>
      <c r="O121" s="11" t="str">
        <f t="shared" ref="O121" si="11">MID(A121,1,3)</f>
        <v>ISP</v>
      </c>
    </row>
    <row r="122" spans="1:15">
      <c r="A122" s="6" t="s">
        <v>999</v>
      </c>
      <c r="B122" s="6" t="s">
        <v>792</v>
      </c>
      <c r="C122" s="6" t="s">
        <v>45</v>
      </c>
      <c r="D122" s="11" t="s">
        <v>793</v>
      </c>
      <c r="E122" s="11">
        <v>1</v>
      </c>
      <c r="F122" s="11" t="s">
        <v>794</v>
      </c>
      <c r="G122" s="11">
        <v>-1</v>
      </c>
      <c r="H122" s="11" t="s">
        <v>794</v>
      </c>
      <c r="I122" s="11">
        <v>-200000</v>
      </c>
      <c r="J122" s="11">
        <v>200000</v>
      </c>
      <c r="K122" s="11">
        <v>0</v>
      </c>
      <c r="L122" s="11" t="s">
        <v>169</v>
      </c>
      <c r="M122" s="6" t="s">
        <v>795</v>
      </c>
      <c r="N122" s="6" t="s">
        <v>1000</v>
      </c>
      <c r="O122" s="11" t="str">
        <f t="shared" si="10"/>
        <v>ISP</v>
      </c>
    </row>
    <row r="123" spans="1:15">
      <c r="A123" s="6" t="s">
        <v>1001</v>
      </c>
      <c r="B123" s="6" t="s">
        <v>792</v>
      </c>
      <c r="C123" s="6" t="s">
        <v>46</v>
      </c>
      <c r="D123" s="11" t="s">
        <v>793</v>
      </c>
      <c r="E123" s="11">
        <v>1</v>
      </c>
      <c r="F123" s="11" t="s">
        <v>794</v>
      </c>
      <c r="G123" s="11">
        <v>-1</v>
      </c>
      <c r="H123" s="11" t="s">
        <v>794</v>
      </c>
      <c r="I123" s="11">
        <v>0</v>
      </c>
      <c r="J123" s="11">
        <v>1</v>
      </c>
      <c r="K123" s="11">
        <v>0</v>
      </c>
      <c r="L123" s="11" t="s">
        <v>79</v>
      </c>
      <c r="M123" s="6" t="s">
        <v>795</v>
      </c>
      <c r="N123" s="6" t="s">
        <v>1002</v>
      </c>
      <c r="O123" s="11" t="str">
        <f t="shared" si="10"/>
        <v>SSM</v>
      </c>
    </row>
    <row r="124" spans="1:15">
      <c r="A124" s="6" t="s">
        <v>1003</v>
      </c>
      <c r="B124" s="6" t="s">
        <v>792</v>
      </c>
      <c r="C124" s="6" t="s">
        <v>46</v>
      </c>
      <c r="D124" s="11" t="s">
        <v>793</v>
      </c>
      <c r="E124" s="11">
        <v>1</v>
      </c>
      <c r="F124" s="11" t="s">
        <v>794</v>
      </c>
      <c r="G124" s="11">
        <v>-1</v>
      </c>
      <c r="H124" s="11" t="s">
        <v>794</v>
      </c>
      <c r="I124" s="11">
        <v>0</v>
      </c>
      <c r="J124" s="11">
        <v>1</v>
      </c>
      <c r="K124" s="11">
        <v>0</v>
      </c>
      <c r="L124" s="11" t="s">
        <v>79</v>
      </c>
      <c r="M124" s="6" t="s">
        <v>795</v>
      </c>
      <c r="N124" s="6" t="s">
        <v>1004</v>
      </c>
      <c r="O124" s="11" t="str">
        <f t="shared" ref="O124:O142" si="12">MID(A124,1,3)</f>
        <v>SSM</v>
      </c>
    </row>
    <row r="125" spans="1:15">
      <c r="A125" s="6" t="s">
        <v>1005</v>
      </c>
      <c r="B125" s="6" t="s">
        <v>792</v>
      </c>
      <c r="C125" s="6" t="s">
        <v>46</v>
      </c>
      <c r="D125" s="11" t="s">
        <v>793</v>
      </c>
      <c r="E125" s="11">
        <v>1</v>
      </c>
      <c r="F125" s="11" t="s">
        <v>794</v>
      </c>
      <c r="G125" s="11">
        <v>-1</v>
      </c>
      <c r="H125" s="11" t="s">
        <v>794</v>
      </c>
      <c r="I125" s="11">
        <v>0</v>
      </c>
      <c r="J125" s="11">
        <v>1</v>
      </c>
      <c r="K125" s="11">
        <v>0</v>
      </c>
      <c r="L125" s="11" t="s">
        <v>79</v>
      </c>
      <c r="M125" s="6" t="s">
        <v>795</v>
      </c>
      <c r="N125" s="6" t="s">
        <v>1006</v>
      </c>
      <c r="O125" s="11" t="str">
        <f t="shared" si="12"/>
        <v>SSM</v>
      </c>
    </row>
    <row r="126" spans="1:15">
      <c r="A126" s="6" t="s">
        <v>1007</v>
      </c>
      <c r="B126" s="6" t="s">
        <v>792</v>
      </c>
      <c r="C126" s="6" t="s">
        <v>46</v>
      </c>
      <c r="D126" s="11" t="s">
        <v>793</v>
      </c>
      <c r="E126" s="11">
        <v>1</v>
      </c>
      <c r="F126" s="11" t="s">
        <v>794</v>
      </c>
      <c r="G126" s="11">
        <v>-1</v>
      </c>
      <c r="H126" s="11" t="s">
        <v>794</v>
      </c>
      <c r="I126" s="11">
        <v>0</v>
      </c>
      <c r="J126" s="11">
        <v>1</v>
      </c>
      <c r="K126" s="11">
        <v>0</v>
      </c>
      <c r="L126" s="11" t="s">
        <v>79</v>
      </c>
      <c r="M126" s="6" t="s">
        <v>795</v>
      </c>
      <c r="N126" s="6" t="s">
        <v>1006</v>
      </c>
      <c r="O126" s="11" t="str">
        <f t="shared" si="12"/>
        <v>SSM</v>
      </c>
    </row>
    <row r="127" spans="1:15">
      <c r="A127" s="6" t="s">
        <v>1008</v>
      </c>
      <c r="B127" s="6" t="s">
        <v>792</v>
      </c>
      <c r="C127" s="6" t="s">
        <v>46</v>
      </c>
      <c r="D127" s="11" t="s">
        <v>793</v>
      </c>
      <c r="E127" s="11">
        <v>1</v>
      </c>
      <c r="F127" s="11" t="s">
        <v>794</v>
      </c>
      <c r="G127" s="11">
        <v>-1</v>
      </c>
      <c r="H127" s="11" t="s">
        <v>794</v>
      </c>
      <c r="I127" s="11">
        <v>0</v>
      </c>
      <c r="J127" s="11">
        <v>1</v>
      </c>
      <c r="K127" s="11">
        <v>0</v>
      </c>
      <c r="L127" s="11" t="s">
        <v>79</v>
      </c>
      <c r="M127" s="6" t="s">
        <v>795</v>
      </c>
      <c r="N127" s="6" t="s">
        <v>1009</v>
      </c>
      <c r="O127" s="11" t="str">
        <f t="shared" si="12"/>
        <v>SSM</v>
      </c>
    </row>
    <row r="128" spans="1:15">
      <c r="A128" s="6" t="s">
        <v>1010</v>
      </c>
      <c r="B128" s="6" t="s">
        <v>792</v>
      </c>
      <c r="C128" s="6" t="s">
        <v>46</v>
      </c>
      <c r="D128" s="11" t="s">
        <v>793</v>
      </c>
      <c r="E128" s="11">
        <v>1</v>
      </c>
      <c r="F128" s="11" t="s">
        <v>794</v>
      </c>
      <c r="G128" s="11">
        <v>-1</v>
      </c>
      <c r="H128" s="11" t="s">
        <v>794</v>
      </c>
      <c r="I128" s="11">
        <v>0</v>
      </c>
      <c r="J128" s="11">
        <v>1</v>
      </c>
      <c r="K128" s="11">
        <v>0</v>
      </c>
      <c r="L128" s="11" t="s">
        <v>79</v>
      </c>
      <c r="M128" s="6" t="s">
        <v>795</v>
      </c>
      <c r="N128" s="6" t="s">
        <v>1011</v>
      </c>
      <c r="O128" s="11" t="str">
        <f t="shared" si="12"/>
        <v>SSM</v>
      </c>
    </row>
    <row r="129" spans="1:15">
      <c r="A129" s="6" t="s">
        <v>1012</v>
      </c>
      <c r="B129" s="6" t="s">
        <v>792</v>
      </c>
      <c r="C129" s="6" t="s">
        <v>46</v>
      </c>
      <c r="D129" s="11" t="s">
        <v>793</v>
      </c>
      <c r="E129" s="11">
        <v>1</v>
      </c>
      <c r="F129" s="11" t="s">
        <v>794</v>
      </c>
      <c r="G129" s="11">
        <v>-1</v>
      </c>
      <c r="H129" s="11" t="s">
        <v>794</v>
      </c>
      <c r="I129" s="11">
        <v>0</v>
      </c>
      <c r="J129" s="11">
        <v>1</v>
      </c>
      <c r="K129" s="11">
        <v>0</v>
      </c>
      <c r="L129" s="11" t="s">
        <v>79</v>
      </c>
      <c r="M129" s="6" t="s">
        <v>795</v>
      </c>
      <c r="N129" s="6" t="s">
        <v>1013</v>
      </c>
      <c r="O129" s="11" t="str">
        <f t="shared" si="12"/>
        <v>SSM</v>
      </c>
    </row>
    <row r="130" spans="1:15">
      <c r="A130" s="6" t="s">
        <v>1014</v>
      </c>
      <c r="B130" s="6" t="s">
        <v>792</v>
      </c>
      <c r="C130" s="6" t="s">
        <v>46</v>
      </c>
      <c r="D130" s="11" t="s">
        <v>793</v>
      </c>
      <c r="E130" s="11">
        <v>1</v>
      </c>
      <c r="F130" s="11" t="s">
        <v>794</v>
      </c>
      <c r="G130" s="11">
        <v>-1</v>
      </c>
      <c r="H130" s="11" t="s">
        <v>794</v>
      </c>
      <c r="I130" s="11">
        <v>0</v>
      </c>
      <c r="J130" s="11">
        <v>1</v>
      </c>
      <c r="K130" s="11">
        <v>0</v>
      </c>
      <c r="L130" s="11" t="s">
        <v>79</v>
      </c>
      <c r="M130" s="6" t="s">
        <v>795</v>
      </c>
      <c r="N130" s="6" t="s">
        <v>1015</v>
      </c>
      <c r="O130" s="11" t="str">
        <f t="shared" si="12"/>
        <v>SSM</v>
      </c>
    </row>
    <row r="131" spans="1:15">
      <c r="A131" s="6" t="s">
        <v>1016</v>
      </c>
      <c r="B131" s="6" t="s">
        <v>792</v>
      </c>
      <c r="C131" s="6" t="s">
        <v>46</v>
      </c>
      <c r="D131" s="11" t="s">
        <v>793</v>
      </c>
      <c r="E131" s="11">
        <v>1</v>
      </c>
      <c r="F131" s="11" t="s">
        <v>794</v>
      </c>
      <c r="G131" s="11">
        <v>-1</v>
      </c>
      <c r="H131" s="11" t="s">
        <v>794</v>
      </c>
      <c r="I131" s="11">
        <v>0</v>
      </c>
      <c r="J131" s="11">
        <v>1</v>
      </c>
      <c r="K131" s="11">
        <v>0</v>
      </c>
      <c r="L131" s="11" t="s">
        <v>79</v>
      </c>
      <c r="M131" s="6" t="s">
        <v>795</v>
      </c>
      <c r="N131" s="6" t="s">
        <v>1017</v>
      </c>
      <c r="O131" s="11" t="str">
        <f t="shared" si="12"/>
        <v>SSM</v>
      </c>
    </row>
    <row r="132" spans="1:15">
      <c r="A132" s="6" t="s">
        <v>1018</v>
      </c>
      <c r="B132" s="6" t="s">
        <v>792</v>
      </c>
      <c r="C132" s="6" t="s">
        <v>46</v>
      </c>
      <c r="D132" s="11" t="s">
        <v>793</v>
      </c>
      <c r="E132" s="11">
        <v>1</v>
      </c>
      <c r="F132" s="11" t="s">
        <v>794</v>
      </c>
      <c r="G132" s="11">
        <v>-1</v>
      </c>
      <c r="H132" s="11" t="s">
        <v>794</v>
      </c>
      <c r="I132" s="11">
        <v>0</v>
      </c>
      <c r="J132" s="11">
        <v>1</v>
      </c>
      <c r="K132" s="11">
        <v>0</v>
      </c>
      <c r="L132" s="11" t="s">
        <v>79</v>
      </c>
      <c r="M132" s="6" t="s">
        <v>795</v>
      </c>
      <c r="N132" s="6" t="s">
        <v>1019</v>
      </c>
      <c r="O132" s="11" t="str">
        <f t="shared" si="12"/>
        <v>SSM</v>
      </c>
    </row>
    <row r="133" spans="1:15">
      <c r="A133" s="6" t="s">
        <v>1020</v>
      </c>
      <c r="B133" s="6" t="s">
        <v>792</v>
      </c>
      <c r="C133" s="6" t="s">
        <v>46</v>
      </c>
      <c r="D133" s="11" t="s">
        <v>793</v>
      </c>
      <c r="E133" s="11">
        <v>1</v>
      </c>
      <c r="F133" s="11" t="s">
        <v>794</v>
      </c>
      <c r="G133" s="11">
        <v>-1</v>
      </c>
      <c r="H133" s="11" t="s">
        <v>794</v>
      </c>
      <c r="I133" s="11">
        <v>0</v>
      </c>
      <c r="J133" s="11">
        <v>1</v>
      </c>
      <c r="K133" s="11">
        <v>0</v>
      </c>
      <c r="L133" s="11" t="s">
        <v>79</v>
      </c>
      <c r="M133" s="6" t="s">
        <v>795</v>
      </c>
      <c r="N133" s="6" t="s">
        <v>1021</v>
      </c>
      <c r="O133" s="11" t="str">
        <f t="shared" ref="O133" si="13">MID(A133,1,3)</f>
        <v>SSM</v>
      </c>
    </row>
    <row r="134" spans="1:15">
      <c r="A134" s="6" t="s">
        <v>1022</v>
      </c>
      <c r="B134" s="6" t="s">
        <v>792</v>
      </c>
      <c r="C134" s="6" t="s">
        <v>46</v>
      </c>
      <c r="D134" s="11" t="s">
        <v>793</v>
      </c>
      <c r="E134" s="11">
        <v>1</v>
      </c>
      <c r="F134" s="11" t="s">
        <v>794</v>
      </c>
      <c r="G134" s="11">
        <v>-1</v>
      </c>
      <c r="H134" s="11" t="s">
        <v>794</v>
      </c>
      <c r="I134" s="11">
        <v>0</v>
      </c>
      <c r="J134" s="11">
        <v>1</v>
      </c>
      <c r="K134" s="11">
        <v>0</v>
      </c>
      <c r="L134" s="11" t="s">
        <v>79</v>
      </c>
      <c r="M134" s="6" t="s">
        <v>795</v>
      </c>
      <c r="N134" s="6" t="s">
        <v>1023</v>
      </c>
      <c r="O134" s="11" t="str">
        <f t="shared" ref="O134" si="14">MID(A134,1,3)</f>
        <v>SSM</v>
      </c>
    </row>
    <row r="135" spans="1:15">
      <c r="A135" s="6" t="s">
        <v>1024</v>
      </c>
      <c r="B135" s="6" t="s">
        <v>792</v>
      </c>
      <c r="C135" s="6" t="s">
        <v>46</v>
      </c>
      <c r="D135" s="11" t="s">
        <v>793</v>
      </c>
      <c r="E135" s="11">
        <v>1</v>
      </c>
      <c r="F135" s="11" t="s">
        <v>794</v>
      </c>
      <c r="G135" s="11">
        <v>-1</v>
      </c>
      <c r="H135" s="11" t="s">
        <v>794</v>
      </c>
      <c r="I135" s="11">
        <v>0</v>
      </c>
      <c r="J135" s="11">
        <v>1</v>
      </c>
      <c r="K135" s="11">
        <v>0</v>
      </c>
      <c r="L135" s="11" t="s">
        <v>79</v>
      </c>
      <c r="M135" s="6" t="s">
        <v>795</v>
      </c>
      <c r="N135" s="6" t="s">
        <v>1025</v>
      </c>
      <c r="O135" s="11" t="str">
        <f t="shared" si="12"/>
        <v>SSM</v>
      </c>
    </row>
    <row r="136" spans="1:15">
      <c r="A136" s="6" t="s">
        <v>1026</v>
      </c>
      <c r="B136" s="6" t="s">
        <v>792</v>
      </c>
      <c r="C136" s="6" t="s">
        <v>46</v>
      </c>
      <c r="D136" s="11" t="s">
        <v>793</v>
      </c>
      <c r="E136" s="11">
        <v>1</v>
      </c>
      <c r="F136" s="11" t="s">
        <v>794</v>
      </c>
      <c r="G136" s="11">
        <v>-1</v>
      </c>
      <c r="H136" s="11" t="s">
        <v>794</v>
      </c>
      <c r="I136" s="11">
        <v>0</v>
      </c>
      <c r="J136" s="11">
        <v>1</v>
      </c>
      <c r="K136" s="11">
        <v>0</v>
      </c>
      <c r="L136" s="11" t="s">
        <v>79</v>
      </c>
      <c r="M136" s="6" t="s">
        <v>795</v>
      </c>
      <c r="N136" s="6" t="s">
        <v>1027</v>
      </c>
      <c r="O136" s="11" t="str">
        <f t="shared" si="12"/>
        <v>SSM</v>
      </c>
    </row>
    <row r="137" spans="1:15">
      <c r="A137" s="6" t="s">
        <v>1028</v>
      </c>
      <c r="B137" s="6" t="s">
        <v>792</v>
      </c>
      <c r="C137" s="6" t="s">
        <v>46</v>
      </c>
      <c r="D137" s="11" t="s">
        <v>793</v>
      </c>
      <c r="E137" s="11">
        <v>1</v>
      </c>
      <c r="F137" s="11" t="s">
        <v>794</v>
      </c>
      <c r="G137" s="11">
        <v>-1</v>
      </c>
      <c r="H137" s="11" t="s">
        <v>794</v>
      </c>
      <c r="I137" s="11">
        <v>0</v>
      </c>
      <c r="J137" s="11">
        <v>1</v>
      </c>
      <c r="K137" s="11">
        <v>0</v>
      </c>
      <c r="L137" s="11" t="s">
        <v>79</v>
      </c>
      <c r="M137" s="6" t="s">
        <v>795</v>
      </c>
      <c r="N137" s="6" t="s">
        <v>1029</v>
      </c>
      <c r="O137" s="11" t="str">
        <f t="shared" si="12"/>
        <v>SSM</v>
      </c>
    </row>
    <row r="138" spans="1:15">
      <c r="A138" s="6" t="s">
        <v>1030</v>
      </c>
      <c r="B138" s="6" t="s">
        <v>792</v>
      </c>
      <c r="C138" s="6" t="s">
        <v>46</v>
      </c>
      <c r="D138" s="11" t="s">
        <v>793</v>
      </c>
      <c r="E138" s="11">
        <v>1</v>
      </c>
      <c r="F138" s="11" t="s">
        <v>794</v>
      </c>
      <c r="G138" s="11">
        <v>-1</v>
      </c>
      <c r="H138" s="11" t="s">
        <v>794</v>
      </c>
      <c r="I138" s="11">
        <v>0</v>
      </c>
      <c r="J138" s="11">
        <v>1</v>
      </c>
      <c r="K138" s="11">
        <v>0</v>
      </c>
      <c r="L138" s="11" t="s">
        <v>79</v>
      </c>
      <c r="M138" s="6" t="s">
        <v>795</v>
      </c>
      <c r="N138" s="6" t="s">
        <v>1031</v>
      </c>
      <c r="O138" s="11" t="str">
        <f t="shared" si="12"/>
        <v>SSM</v>
      </c>
    </row>
    <row r="139" spans="1:15">
      <c r="A139" s="6" t="s">
        <v>1032</v>
      </c>
      <c r="B139" s="6" t="s">
        <v>792</v>
      </c>
      <c r="C139" s="6" t="s">
        <v>46</v>
      </c>
      <c r="D139" s="11" t="s">
        <v>793</v>
      </c>
      <c r="E139" s="11">
        <v>1</v>
      </c>
      <c r="F139" s="11" t="s">
        <v>794</v>
      </c>
      <c r="G139" s="11">
        <v>-1</v>
      </c>
      <c r="H139" s="11" t="s">
        <v>794</v>
      </c>
      <c r="I139" s="11">
        <v>0</v>
      </c>
      <c r="J139" s="11">
        <v>1</v>
      </c>
      <c r="K139" s="11">
        <v>0</v>
      </c>
      <c r="L139" s="11" t="s">
        <v>79</v>
      </c>
      <c r="M139" s="6" t="s">
        <v>795</v>
      </c>
      <c r="N139" s="6" t="s">
        <v>1033</v>
      </c>
      <c r="O139" s="11" t="str">
        <f t="shared" si="12"/>
        <v>SSM</v>
      </c>
    </row>
    <row r="140" spans="1:15">
      <c r="A140" s="6" t="s">
        <v>1034</v>
      </c>
      <c r="B140" s="6" t="s">
        <v>792</v>
      </c>
      <c r="C140" s="6" t="s">
        <v>46</v>
      </c>
      <c r="D140" s="11" t="s">
        <v>793</v>
      </c>
      <c r="E140" s="11">
        <v>1</v>
      </c>
      <c r="F140" s="11" t="s">
        <v>794</v>
      </c>
      <c r="G140" s="11">
        <v>-1</v>
      </c>
      <c r="H140" s="11" t="s">
        <v>794</v>
      </c>
      <c r="I140" s="11">
        <v>0</v>
      </c>
      <c r="J140" s="11">
        <v>1</v>
      </c>
      <c r="K140" s="11">
        <v>0</v>
      </c>
      <c r="L140" s="11" t="s">
        <v>79</v>
      </c>
      <c r="M140" s="6" t="s">
        <v>795</v>
      </c>
      <c r="N140" s="6" t="s">
        <v>1035</v>
      </c>
      <c r="O140" s="11" t="str">
        <f t="shared" si="12"/>
        <v>SSM</v>
      </c>
    </row>
    <row r="141" spans="1:15">
      <c r="A141" s="6" t="s">
        <v>1036</v>
      </c>
      <c r="B141" s="6" t="s">
        <v>792</v>
      </c>
      <c r="C141" s="6" t="s">
        <v>46</v>
      </c>
      <c r="D141" s="11" t="s">
        <v>793</v>
      </c>
      <c r="E141" s="11">
        <v>1</v>
      </c>
      <c r="F141" s="11" t="s">
        <v>794</v>
      </c>
      <c r="G141" s="11">
        <v>-1</v>
      </c>
      <c r="H141" s="11" t="s">
        <v>794</v>
      </c>
      <c r="I141" s="11">
        <v>0</v>
      </c>
      <c r="J141" s="11">
        <v>1</v>
      </c>
      <c r="K141" s="11">
        <v>0</v>
      </c>
      <c r="L141" s="11" t="s">
        <v>79</v>
      </c>
      <c r="M141" s="6" t="s">
        <v>795</v>
      </c>
      <c r="N141" s="6" t="s">
        <v>1037</v>
      </c>
      <c r="O141" s="11" t="str">
        <f t="shared" si="12"/>
        <v>SSM</v>
      </c>
    </row>
    <row r="142" spans="1:15">
      <c r="A142" s="6" t="s">
        <v>1038</v>
      </c>
      <c r="B142" s="6" t="s">
        <v>792</v>
      </c>
      <c r="C142" s="6" t="s">
        <v>46</v>
      </c>
      <c r="D142" s="11" t="s">
        <v>793</v>
      </c>
      <c r="E142" s="11">
        <v>1</v>
      </c>
      <c r="F142" s="11" t="s">
        <v>794</v>
      </c>
      <c r="G142" s="11">
        <v>-1</v>
      </c>
      <c r="H142" s="11" t="s">
        <v>794</v>
      </c>
      <c r="I142" s="11">
        <v>0</v>
      </c>
      <c r="J142" s="11">
        <v>1</v>
      </c>
      <c r="K142" s="11">
        <v>0</v>
      </c>
      <c r="L142" s="11" t="s">
        <v>79</v>
      </c>
      <c r="M142" s="6" t="s">
        <v>795</v>
      </c>
      <c r="N142" s="6" t="s">
        <v>1039</v>
      </c>
      <c r="O142" s="11" t="str">
        <f t="shared" si="12"/>
        <v>SSM</v>
      </c>
    </row>
    <row r="143" s="10" customFormat="1" spans="1:15">
      <c r="A143" s="15" t="s">
        <v>1040</v>
      </c>
      <c r="B143" s="15" t="s">
        <v>792</v>
      </c>
      <c r="C143" s="15" t="s">
        <v>46</v>
      </c>
      <c r="D143" s="10" t="s">
        <v>793</v>
      </c>
      <c r="E143" s="10">
        <v>1</v>
      </c>
      <c r="F143" s="10" t="s">
        <v>1041</v>
      </c>
      <c r="G143" s="10">
        <v>-1</v>
      </c>
      <c r="H143" s="10" t="s">
        <v>794</v>
      </c>
      <c r="I143" s="10">
        <v>0</v>
      </c>
      <c r="J143" s="10">
        <v>1</v>
      </c>
      <c r="K143" s="10">
        <v>1</v>
      </c>
      <c r="L143" s="10" t="s">
        <v>79</v>
      </c>
      <c r="M143" s="15" t="s">
        <v>795</v>
      </c>
      <c r="N143" s="15" t="s">
        <v>1042</v>
      </c>
      <c r="O143" s="11" t="str">
        <f t="shared" ref="O143:O150" si="15">MID(A143,1,3)</f>
        <v>SSM</v>
      </c>
    </row>
    <row r="144" s="10" customFormat="1" spans="1:15">
      <c r="A144" s="15" t="s">
        <v>1043</v>
      </c>
      <c r="B144" s="15" t="s">
        <v>792</v>
      </c>
      <c r="C144" s="15" t="s">
        <v>47</v>
      </c>
      <c r="D144" s="10" t="s">
        <v>793</v>
      </c>
      <c r="E144" s="10">
        <v>1</v>
      </c>
      <c r="F144" s="10" t="s">
        <v>1041</v>
      </c>
      <c r="G144" s="10">
        <v>-1</v>
      </c>
      <c r="H144" s="10" t="s">
        <v>794</v>
      </c>
      <c r="I144" s="10" t="s">
        <v>161</v>
      </c>
      <c r="J144" s="10" t="s">
        <v>161</v>
      </c>
      <c r="K144" s="10" t="s">
        <v>159</v>
      </c>
      <c r="L144" s="10" t="s">
        <v>79</v>
      </c>
      <c r="M144" s="15" t="s">
        <v>795</v>
      </c>
      <c r="N144" s="15" t="s">
        <v>1044</v>
      </c>
      <c r="O144" s="11" t="str">
        <f t="shared" si="15"/>
        <v>SSM</v>
      </c>
    </row>
    <row r="145" spans="1:15">
      <c r="A145" s="6" t="s">
        <v>1045</v>
      </c>
      <c r="B145" s="6" t="s">
        <v>792</v>
      </c>
      <c r="C145" s="6" t="s">
        <v>46</v>
      </c>
      <c r="D145" s="11" t="s">
        <v>793</v>
      </c>
      <c r="E145" s="11">
        <v>1</v>
      </c>
      <c r="F145" s="11" t="s">
        <v>794</v>
      </c>
      <c r="G145" s="11">
        <v>-1</v>
      </c>
      <c r="H145" s="11" t="s">
        <v>794</v>
      </c>
      <c r="I145" s="11">
        <v>0</v>
      </c>
      <c r="J145" s="11">
        <v>1</v>
      </c>
      <c r="K145" s="11">
        <v>0</v>
      </c>
      <c r="L145" s="11" t="s">
        <v>79</v>
      </c>
      <c r="M145" s="6" t="s">
        <v>795</v>
      </c>
      <c r="N145" s="6" t="s">
        <v>1046</v>
      </c>
      <c r="O145" s="11" t="str">
        <f t="shared" si="15"/>
        <v>SSM</v>
      </c>
    </row>
    <row r="146" spans="1:15">
      <c r="A146" s="6" t="s">
        <v>1047</v>
      </c>
      <c r="B146" s="6" t="s">
        <v>792</v>
      </c>
      <c r="C146" s="6" t="s">
        <v>47</v>
      </c>
      <c r="D146" s="11" t="s">
        <v>793</v>
      </c>
      <c r="E146" s="11">
        <v>1</v>
      </c>
      <c r="F146" s="11" t="s">
        <v>794</v>
      </c>
      <c r="G146" s="11">
        <v>-1</v>
      </c>
      <c r="H146" s="11" t="s">
        <v>794</v>
      </c>
      <c r="I146" s="11" t="s">
        <v>161</v>
      </c>
      <c r="J146" s="11" t="s">
        <v>161</v>
      </c>
      <c r="K146" s="11" t="s">
        <v>159</v>
      </c>
      <c r="L146" s="11" t="s">
        <v>79</v>
      </c>
      <c r="M146" s="6" t="s">
        <v>795</v>
      </c>
      <c r="N146" s="6" t="s">
        <v>1048</v>
      </c>
      <c r="O146" s="11" t="str">
        <f t="shared" si="15"/>
        <v>SSM</v>
      </c>
    </row>
    <row r="147" spans="1:15">
      <c r="A147" s="6" t="s">
        <v>1049</v>
      </c>
      <c r="B147" s="6" t="s">
        <v>792</v>
      </c>
      <c r="C147" s="6" t="s">
        <v>837</v>
      </c>
      <c r="D147" s="11" t="s">
        <v>793</v>
      </c>
      <c r="E147" s="11">
        <v>1</v>
      </c>
      <c r="F147" s="11" t="s">
        <v>794</v>
      </c>
      <c r="G147" s="11">
        <v>-1</v>
      </c>
      <c r="H147" s="11" t="s">
        <v>794</v>
      </c>
      <c r="I147" s="11" t="s">
        <v>254</v>
      </c>
      <c r="J147" s="11" t="s">
        <v>254</v>
      </c>
      <c r="K147" s="11" t="s">
        <v>253</v>
      </c>
      <c r="L147" s="11" t="s">
        <v>79</v>
      </c>
      <c r="M147" s="6" t="s">
        <v>795</v>
      </c>
      <c r="N147" s="6" t="s">
        <v>1050</v>
      </c>
      <c r="O147" s="11" t="str">
        <f t="shared" si="15"/>
        <v>SSM</v>
      </c>
    </row>
    <row r="148" spans="1:15">
      <c r="A148" s="6" t="s">
        <v>1051</v>
      </c>
      <c r="B148" s="6" t="s">
        <v>792</v>
      </c>
      <c r="C148" s="6" t="s">
        <v>53</v>
      </c>
      <c r="D148" s="11" t="s">
        <v>793</v>
      </c>
      <c r="E148" s="11">
        <v>1</v>
      </c>
      <c r="F148" s="11" t="s">
        <v>794</v>
      </c>
      <c r="G148" s="11">
        <v>-1</v>
      </c>
      <c r="H148" s="11" t="s">
        <v>794</v>
      </c>
      <c r="I148" s="11" t="s">
        <v>1052</v>
      </c>
      <c r="J148" s="11" t="s">
        <v>1052</v>
      </c>
      <c r="K148" s="11" t="s">
        <v>1053</v>
      </c>
      <c r="L148" s="11" t="s">
        <v>79</v>
      </c>
      <c r="M148" s="6" t="s">
        <v>795</v>
      </c>
      <c r="N148" s="6" t="s">
        <v>1054</v>
      </c>
      <c r="O148" s="11" t="str">
        <f t="shared" si="15"/>
        <v>SSM</v>
      </c>
    </row>
    <row r="149" spans="1:15">
      <c r="A149" s="6" t="s">
        <v>1055</v>
      </c>
      <c r="B149" s="6" t="s">
        <v>792</v>
      </c>
      <c r="C149" s="6" t="s">
        <v>53</v>
      </c>
      <c r="D149" s="11" t="s">
        <v>793</v>
      </c>
      <c r="E149" s="11">
        <v>1</v>
      </c>
      <c r="F149" s="11" t="s">
        <v>794</v>
      </c>
      <c r="G149" s="11">
        <v>-1</v>
      </c>
      <c r="H149" s="11" t="s">
        <v>794</v>
      </c>
      <c r="I149" s="11" t="s">
        <v>1052</v>
      </c>
      <c r="J149" s="11" t="s">
        <v>1052</v>
      </c>
      <c r="K149" s="11" t="s">
        <v>1053</v>
      </c>
      <c r="L149" s="11" t="s">
        <v>79</v>
      </c>
      <c r="M149" s="6" t="s">
        <v>795</v>
      </c>
      <c r="N149" s="6" t="s">
        <v>1054</v>
      </c>
      <c r="O149" s="11" t="str">
        <f t="shared" si="15"/>
        <v>SSM</v>
      </c>
    </row>
    <row r="150" spans="1:15">
      <c r="A150" s="6" t="s">
        <v>1056</v>
      </c>
      <c r="B150" s="6" t="s">
        <v>792</v>
      </c>
      <c r="C150" s="6" t="s">
        <v>53</v>
      </c>
      <c r="D150" s="11" t="s">
        <v>793</v>
      </c>
      <c r="E150" s="11">
        <v>1</v>
      </c>
      <c r="F150" s="11" t="s">
        <v>794</v>
      </c>
      <c r="G150" s="11">
        <v>-1</v>
      </c>
      <c r="H150" s="11" t="s">
        <v>794</v>
      </c>
      <c r="I150" s="11" t="s">
        <v>1052</v>
      </c>
      <c r="J150" s="11" t="s">
        <v>1052</v>
      </c>
      <c r="K150" s="11" t="s">
        <v>1053</v>
      </c>
      <c r="L150" s="11" t="s">
        <v>79</v>
      </c>
      <c r="M150" s="6" t="s">
        <v>795</v>
      </c>
      <c r="N150" s="6" t="s">
        <v>1057</v>
      </c>
      <c r="O150" s="11" t="str">
        <f t="shared" si="15"/>
        <v>SSM</v>
      </c>
    </row>
    <row r="151" spans="1:15">
      <c r="A151" s="6" t="s">
        <v>1058</v>
      </c>
      <c r="B151" s="6" t="s">
        <v>792</v>
      </c>
      <c r="C151" s="6" t="s">
        <v>45</v>
      </c>
      <c r="D151" s="11" t="s">
        <v>793</v>
      </c>
      <c r="E151" s="11">
        <v>1</v>
      </c>
      <c r="F151" s="11" t="s">
        <v>794</v>
      </c>
      <c r="G151" s="11">
        <v>-1</v>
      </c>
      <c r="H151" s="11" t="s">
        <v>794</v>
      </c>
      <c r="I151" s="11">
        <v>-512</v>
      </c>
      <c r="J151" s="11">
        <v>512</v>
      </c>
      <c r="K151" s="11">
        <v>0</v>
      </c>
      <c r="L151" s="11" t="s">
        <v>94</v>
      </c>
      <c r="M151" s="6" t="s">
        <v>795</v>
      </c>
      <c r="N151" s="6" t="s">
        <v>1059</v>
      </c>
      <c r="O151" s="11" t="str">
        <f t="shared" ref="O151:O196" si="16">MID(A151,1,3)</f>
        <v>TCC</v>
      </c>
    </row>
    <row r="152" spans="1:15">
      <c r="A152" s="6" t="s">
        <v>1060</v>
      </c>
      <c r="B152" s="6" t="s">
        <v>792</v>
      </c>
      <c r="C152" s="6" t="s">
        <v>46</v>
      </c>
      <c r="D152" s="11" t="s">
        <v>793</v>
      </c>
      <c r="E152" s="11">
        <v>1</v>
      </c>
      <c r="F152" s="11" t="s">
        <v>794</v>
      </c>
      <c r="G152" s="11">
        <v>-1</v>
      </c>
      <c r="H152" s="11" t="s">
        <v>794</v>
      </c>
      <c r="I152" s="11">
        <v>0</v>
      </c>
      <c r="J152" s="11">
        <v>1</v>
      </c>
      <c r="K152" s="11">
        <v>0</v>
      </c>
      <c r="L152" s="11" t="s">
        <v>79</v>
      </c>
      <c r="M152" s="6" t="s">
        <v>795</v>
      </c>
      <c r="N152" s="6" t="s">
        <v>1061</v>
      </c>
      <c r="O152" s="11" t="str">
        <f t="shared" si="16"/>
        <v>TCC</v>
      </c>
    </row>
    <row r="153" spans="1:15">
      <c r="A153" s="6" t="s">
        <v>1062</v>
      </c>
      <c r="B153" s="6" t="s">
        <v>792</v>
      </c>
      <c r="C153" s="6" t="s">
        <v>45</v>
      </c>
      <c r="D153" s="11" t="s">
        <v>793</v>
      </c>
      <c r="E153" s="11">
        <v>1</v>
      </c>
      <c r="F153" s="11" t="s">
        <v>794</v>
      </c>
      <c r="G153" s="11">
        <v>-1</v>
      </c>
      <c r="H153" s="11" t="s">
        <v>794</v>
      </c>
      <c r="I153" s="11">
        <v>-0.1</v>
      </c>
      <c r="J153" s="11">
        <v>0.1</v>
      </c>
      <c r="K153" s="11">
        <v>0</v>
      </c>
      <c r="L153" s="11" t="s">
        <v>188</v>
      </c>
      <c r="M153" s="6" t="s">
        <v>795</v>
      </c>
      <c r="N153" s="6" t="s">
        <v>1063</v>
      </c>
      <c r="O153" s="11" t="str">
        <f t="shared" si="16"/>
        <v>PMC</v>
      </c>
    </row>
    <row r="154" spans="1:15">
      <c r="A154" s="6" t="s">
        <v>1064</v>
      </c>
      <c r="B154" s="6" t="s">
        <v>792</v>
      </c>
      <c r="C154" s="6" t="s">
        <v>45</v>
      </c>
      <c r="D154" s="11" t="s">
        <v>793</v>
      </c>
      <c r="E154" s="11">
        <v>1</v>
      </c>
      <c r="F154" s="11" t="s">
        <v>794</v>
      </c>
      <c r="G154" s="11">
        <v>-1</v>
      </c>
      <c r="H154" s="11" t="s">
        <v>794</v>
      </c>
      <c r="I154" s="11">
        <v>-0.1</v>
      </c>
      <c r="J154" s="11">
        <v>0.1</v>
      </c>
      <c r="K154" s="11">
        <v>0</v>
      </c>
      <c r="L154" s="11" t="s">
        <v>1065</v>
      </c>
      <c r="M154" s="6" t="s">
        <v>795</v>
      </c>
      <c r="N154" s="6" t="s">
        <v>1066</v>
      </c>
      <c r="O154" s="11" t="str">
        <f t="shared" si="16"/>
        <v>PMC</v>
      </c>
    </row>
    <row r="155" spans="1:15">
      <c r="A155" s="6" t="s">
        <v>1067</v>
      </c>
      <c r="B155" s="6" t="s">
        <v>792</v>
      </c>
      <c r="C155" s="6" t="s">
        <v>45</v>
      </c>
      <c r="D155" s="11" t="s">
        <v>793</v>
      </c>
      <c r="E155" s="11">
        <v>1</v>
      </c>
      <c r="F155" s="11" t="s">
        <v>794</v>
      </c>
      <c r="G155" s="11">
        <v>-1</v>
      </c>
      <c r="H155" s="11" t="s">
        <v>794</v>
      </c>
      <c r="I155" s="11">
        <v>0</v>
      </c>
      <c r="J155" s="11">
        <v>0.2</v>
      </c>
      <c r="K155" s="11">
        <v>0</v>
      </c>
      <c r="L155" s="11" t="s">
        <v>1065</v>
      </c>
      <c r="M155" s="6" t="s">
        <v>795</v>
      </c>
      <c r="N155" s="6" t="s">
        <v>1068</v>
      </c>
      <c r="O155" s="11" t="str">
        <f t="shared" ref="O155" si="17">MID(A155,1,3)</f>
        <v>PMC</v>
      </c>
    </row>
    <row r="156" spans="1:15">
      <c r="A156" s="6" t="s">
        <v>1069</v>
      </c>
      <c r="B156" s="6" t="s">
        <v>792</v>
      </c>
      <c r="C156" s="6" t="s">
        <v>45</v>
      </c>
      <c r="D156" s="11" t="s">
        <v>793</v>
      </c>
      <c r="E156" s="11">
        <v>1</v>
      </c>
      <c r="F156" s="11" t="s">
        <v>794</v>
      </c>
      <c r="G156" s="11">
        <v>-1</v>
      </c>
      <c r="H156" s="11" t="s">
        <v>794</v>
      </c>
      <c r="I156" s="11">
        <v>-0.002</v>
      </c>
      <c r="J156" s="11">
        <v>0.002</v>
      </c>
      <c r="K156" s="11">
        <v>0</v>
      </c>
      <c r="L156" s="11" t="s">
        <v>179</v>
      </c>
      <c r="M156" s="6" t="s">
        <v>795</v>
      </c>
      <c r="N156" s="6" t="s">
        <v>1070</v>
      </c>
      <c r="O156" s="11" t="str">
        <f t="shared" si="16"/>
        <v>PMC</v>
      </c>
    </row>
    <row r="157" spans="1:15">
      <c r="A157" s="6" t="s">
        <v>1071</v>
      </c>
      <c r="B157" s="6" t="s">
        <v>792</v>
      </c>
      <c r="C157" s="6" t="s">
        <v>45</v>
      </c>
      <c r="D157" s="11" t="s">
        <v>793</v>
      </c>
      <c r="E157" s="11">
        <v>1</v>
      </c>
      <c r="F157" s="11" t="s">
        <v>794</v>
      </c>
      <c r="G157" s="11">
        <v>-1</v>
      </c>
      <c r="H157" s="11" t="s">
        <v>794</v>
      </c>
      <c r="I157" s="11">
        <v>-0.002</v>
      </c>
      <c r="J157" s="11">
        <v>0.002</v>
      </c>
      <c r="K157" s="11">
        <v>0</v>
      </c>
      <c r="L157" s="11" t="s">
        <v>179</v>
      </c>
      <c r="M157" s="6" t="s">
        <v>795</v>
      </c>
      <c r="N157" s="6" t="s">
        <v>1072</v>
      </c>
      <c r="O157" s="11" t="str">
        <f t="shared" si="16"/>
        <v>PMC</v>
      </c>
    </row>
    <row r="158" spans="1:15">
      <c r="A158" s="6" t="s">
        <v>1073</v>
      </c>
      <c r="B158" s="6" t="s">
        <v>792</v>
      </c>
      <c r="C158" s="6" t="s">
        <v>45</v>
      </c>
      <c r="D158" s="11" t="s">
        <v>793</v>
      </c>
      <c r="E158" s="11">
        <v>1</v>
      </c>
      <c r="F158" s="11" t="s">
        <v>794</v>
      </c>
      <c r="G158" s="11">
        <v>-1</v>
      </c>
      <c r="H158" s="11" t="s">
        <v>794</v>
      </c>
      <c r="I158" s="11">
        <v>-0.002</v>
      </c>
      <c r="J158" s="11">
        <v>0.002</v>
      </c>
      <c r="K158" s="11">
        <v>0</v>
      </c>
      <c r="L158" s="11" t="s">
        <v>179</v>
      </c>
      <c r="M158" s="6" t="s">
        <v>795</v>
      </c>
      <c r="N158" s="6" t="s">
        <v>1074</v>
      </c>
      <c r="O158" s="11" t="str">
        <f t="shared" si="16"/>
        <v>PMC</v>
      </c>
    </row>
    <row r="159" spans="1:15">
      <c r="A159" s="6" t="s">
        <v>1075</v>
      </c>
      <c r="B159" s="6" t="s">
        <v>792</v>
      </c>
      <c r="C159" s="6" t="s">
        <v>45</v>
      </c>
      <c r="D159" s="11" t="s">
        <v>793</v>
      </c>
      <c r="E159" s="11">
        <v>1</v>
      </c>
      <c r="F159" s="11" t="s">
        <v>794</v>
      </c>
      <c r="G159" s="11">
        <v>-1</v>
      </c>
      <c r="H159" s="11" t="s">
        <v>794</v>
      </c>
      <c r="I159" s="11">
        <v>-0.1</v>
      </c>
      <c r="J159" s="11">
        <v>0.1</v>
      </c>
      <c r="K159" s="11">
        <v>0</v>
      </c>
      <c r="L159" s="11" t="s">
        <v>188</v>
      </c>
      <c r="M159" s="6" t="s">
        <v>795</v>
      </c>
      <c r="N159" s="6" t="s">
        <v>1076</v>
      </c>
      <c r="O159" s="11" t="str">
        <f t="shared" si="16"/>
        <v>PMC</v>
      </c>
    </row>
    <row r="160" spans="1:15">
      <c r="A160" s="6" t="s">
        <v>1077</v>
      </c>
      <c r="B160" s="6" t="s">
        <v>792</v>
      </c>
      <c r="C160" s="6" t="s">
        <v>45</v>
      </c>
      <c r="D160" s="11" t="s">
        <v>793</v>
      </c>
      <c r="E160" s="11">
        <v>1</v>
      </c>
      <c r="F160" s="11" t="s">
        <v>794</v>
      </c>
      <c r="G160" s="11">
        <v>-1</v>
      </c>
      <c r="H160" s="11" t="s">
        <v>794</v>
      </c>
      <c r="I160" s="11">
        <v>-0.04</v>
      </c>
      <c r="J160" s="11">
        <v>0.04</v>
      </c>
      <c r="K160" s="11">
        <v>0</v>
      </c>
      <c r="L160" s="11" t="s">
        <v>1065</v>
      </c>
      <c r="M160" s="6" t="s">
        <v>795</v>
      </c>
      <c r="N160" s="6" t="s">
        <v>1078</v>
      </c>
      <c r="O160" s="11" t="str">
        <f t="shared" si="16"/>
        <v>PMC</v>
      </c>
    </row>
    <row r="161" spans="1:15">
      <c r="A161" s="6" t="s">
        <v>1079</v>
      </c>
      <c r="B161" s="6" t="s">
        <v>792</v>
      </c>
      <c r="C161" s="6" t="s">
        <v>45</v>
      </c>
      <c r="D161" s="11" t="s">
        <v>793</v>
      </c>
      <c r="E161" s="11">
        <v>1</v>
      </c>
      <c r="F161" s="11" t="s">
        <v>794</v>
      </c>
      <c r="G161" s="11">
        <v>-1</v>
      </c>
      <c r="H161" s="11" t="s">
        <v>794</v>
      </c>
      <c r="I161" s="11">
        <v>-0.002</v>
      </c>
      <c r="J161" s="11">
        <v>0.002</v>
      </c>
      <c r="K161" s="11">
        <v>0</v>
      </c>
      <c r="L161" s="11" t="s">
        <v>179</v>
      </c>
      <c r="M161" s="6" t="s">
        <v>795</v>
      </c>
      <c r="N161" s="6" t="s">
        <v>1080</v>
      </c>
      <c r="O161" s="11" t="str">
        <f t="shared" si="16"/>
        <v>PMC</v>
      </c>
    </row>
    <row r="162" spans="1:15">
      <c r="A162" s="6" t="s">
        <v>1081</v>
      </c>
      <c r="B162" s="6" t="s">
        <v>792</v>
      </c>
      <c r="C162" s="6" t="s">
        <v>45</v>
      </c>
      <c r="D162" s="11" t="s">
        <v>793</v>
      </c>
      <c r="E162" s="11">
        <v>1</v>
      </c>
      <c r="F162" s="11" t="s">
        <v>794</v>
      </c>
      <c r="G162" s="11">
        <v>-1</v>
      </c>
      <c r="H162" s="11" t="s">
        <v>794</v>
      </c>
      <c r="I162" s="11">
        <v>-0.002</v>
      </c>
      <c r="J162" s="11">
        <v>0.002</v>
      </c>
      <c r="K162" s="11">
        <v>0</v>
      </c>
      <c r="L162" s="11" t="s">
        <v>179</v>
      </c>
      <c r="M162" s="6" t="s">
        <v>795</v>
      </c>
      <c r="N162" s="6" t="s">
        <v>1082</v>
      </c>
      <c r="O162" s="11" t="str">
        <f t="shared" si="16"/>
        <v>PMC</v>
      </c>
    </row>
    <row r="163" spans="1:15">
      <c r="A163" s="6" t="s">
        <v>1083</v>
      </c>
      <c r="B163" s="6" t="s">
        <v>792</v>
      </c>
      <c r="C163" s="6" t="s">
        <v>45</v>
      </c>
      <c r="D163" s="11" t="s">
        <v>793</v>
      </c>
      <c r="E163" s="11">
        <v>1</v>
      </c>
      <c r="F163" s="11" t="s">
        <v>794</v>
      </c>
      <c r="G163" s="11">
        <v>-1</v>
      </c>
      <c r="H163" s="11" t="s">
        <v>794</v>
      </c>
      <c r="I163" s="11">
        <v>-0.002</v>
      </c>
      <c r="J163" s="11">
        <v>0.002</v>
      </c>
      <c r="K163" s="11">
        <v>0</v>
      </c>
      <c r="L163" s="11" t="s">
        <v>179</v>
      </c>
      <c r="M163" s="6" t="s">
        <v>795</v>
      </c>
      <c r="N163" s="6" t="s">
        <v>1084</v>
      </c>
      <c r="O163" s="11" t="str">
        <f t="shared" si="16"/>
        <v>PMC</v>
      </c>
    </row>
    <row r="164" spans="1:15">
      <c r="A164" s="6" t="s">
        <v>1085</v>
      </c>
      <c r="B164" s="6" t="s">
        <v>792</v>
      </c>
      <c r="C164" s="6" t="s">
        <v>45</v>
      </c>
      <c r="D164" s="11" t="s">
        <v>793</v>
      </c>
      <c r="E164" s="11">
        <v>1</v>
      </c>
      <c r="F164" s="11" t="s">
        <v>794</v>
      </c>
      <c r="G164" s="11">
        <v>-1</v>
      </c>
      <c r="H164" s="11" t="s">
        <v>794</v>
      </c>
      <c r="I164" s="11">
        <v>-1000</v>
      </c>
      <c r="J164" s="11">
        <v>1000</v>
      </c>
      <c r="K164" s="11">
        <v>0</v>
      </c>
      <c r="L164" s="11" t="s">
        <v>172</v>
      </c>
      <c r="M164" s="6" t="s">
        <v>795</v>
      </c>
      <c r="N164" s="6" t="s">
        <v>1086</v>
      </c>
      <c r="O164" s="11" t="str">
        <f t="shared" si="16"/>
        <v>PMC</v>
      </c>
    </row>
    <row r="165" spans="1:15">
      <c r="A165" s="6" t="s">
        <v>1087</v>
      </c>
      <c r="B165" s="6" t="s">
        <v>792</v>
      </c>
      <c r="C165" s="6" t="s">
        <v>45</v>
      </c>
      <c r="D165" s="11" t="s">
        <v>793</v>
      </c>
      <c r="E165" s="11">
        <v>1</v>
      </c>
      <c r="F165" s="11" t="s">
        <v>794</v>
      </c>
      <c r="G165" s="11">
        <v>-1</v>
      </c>
      <c r="H165" s="11" t="s">
        <v>794</v>
      </c>
      <c r="I165" s="11">
        <v>-1000</v>
      </c>
      <c r="J165" s="11">
        <v>1000</v>
      </c>
      <c r="K165" s="11">
        <v>0</v>
      </c>
      <c r="L165" s="11" t="s">
        <v>172</v>
      </c>
      <c r="M165" s="6" t="s">
        <v>795</v>
      </c>
      <c r="N165" s="6" t="s">
        <v>1088</v>
      </c>
      <c r="O165" s="11" t="str">
        <f t="shared" si="16"/>
        <v>PMC</v>
      </c>
    </row>
    <row r="166" spans="1:15">
      <c r="A166" s="6" t="s">
        <v>1089</v>
      </c>
      <c r="B166" s="6" t="s">
        <v>792</v>
      </c>
      <c r="C166" s="6" t="s">
        <v>45</v>
      </c>
      <c r="D166" s="11" t="s">
        <v>793</v>
      </c>
      <c r="E166" s="11">
        <v>1</v>
      </c>
      <c r="F166" s="11" t="s">
        <v>794</v>
      </c>
      <c r="G166" s="11">
        <v>-1</v>
      </c>
      <c r="H166" s="11" t="s">
        <v>794</v>
      </c>
      <c r="I166" s="11">
        <v>-1000</v>
      </c>
      <c r="J166" s="11">
        <v>1000</v>
      </c>
      <c r="K166" s="11">
        <v>0</v>
      </c>
      <c r="L166" s="11" t="s">
        <v>172</v>
      </c>
      <c r="M166" s="6" t="s">
        <v>795</v>
      </c>
      <c r="N166" s="6" t="s">
        <v>1090</v>
      </c>
      <c r="O166" s="11" t="str">
        <f t="shared" si="16"/>
        <v>PMC</v>
      </c>
    </row>
    <row r="167" spans="1:15">
      <c r="A167" s="6" t="s">
        <v>1091</v>
      </c>
      <c r="B167" s="6" t="s">
        <v>792</v>
      </c>
      <c r="C167" s="6" t="s">
        <v>45</v>
      </c>
      <c r="D167" s="11" t="s">
        <v>793</v>
      </c>
      <c r="E167" s="11">
        <v>1</v>
      </c>
      <c r="F167" s="11" t="s">
        <v>794</v>
      </c>
      <c r="G167" s="11">
        <v>-1</v>
      </c>
      <c r="H167" s="11" t="s">
        <v>794</v>
      </c>
      <c r="I167" s="11">
        <v>-512</v>
      </c>
      <c r="J167" s="11">
        <v>512</v>
      </c>
      <c r="K167" s="11">
        <v>0</v>
      </c>
      <c r="L167" s="11" t="s">
        <v>94</v>
      </c>
      <c r="M167" s="6" t="s">
        <v>795</v>
      </c>
      <c r="N167" s="6" t="s">
        <v>1092</v>
      </c>
      <c r="O167" s="11" t="str">
        <f t="shared" si="16"/>
        <v>PMC</v>
      </c>
    </row>
    <row r="168" spans="1:15">
      <c r="A168" s="6" t="s">
        <v>1093</v>
      </c>
      <c r="B168" s="6" t="s">
        <v>792</v>
      </c>
      <c r="C168" s="6" t="s">
        <v>45</v>
      </c>
      <c r="D168" s="11" t="s">
        <v>793</v>
      </c>
      <c r="E168" s="11">
        <v>1</v>
      </c>
      <c r="F168" s="11" t="s">
        <v>794</v>
      </c>
      <c r="G168" s="11">
        <v>-1</v>
      </c>
      <c r="H168" s="11" t="s">
        <v>794</v>
      </c>
      <c r="I168" s="11">
        <v>-512</v>
      </c>
      <c r="J168" s="11">
        <v>512</v>
      </c>
      <c r="K168" s="11">
        <v>0</v>
      </c>
      <c r="L168" s="11" t="s">
        <v>94</v>
      </c>
      <c r="M168" s="6" t="s">
        <v>795</v>
      </c>
      <c r="N168" s="6" t="s">
        <v>1094</v>
      </c>
      <c r="O168" s="11" t="str">
        <f t="shared" si="16"/>
        <v>PMC</v>
      </c>
    </row>
    <row r="169" spans="1:15">
      <c r="A169" s="6" t="s">
        <v>1095</v>
      </c>
      <c r="B169" s="6" t="s">
        <v>792</v>
      </c>
      <c r="C169" s="6" t="s">
        <v>45</v>
      </c>
      <c r="D169" s="11" t="s">
        <v>793</v>
      </c>
      <c r="E169" s="11">
        <v>1</v>
      </c>
      <c r="F169" s="11" t="s">
        <v>794</v>
      </c>
      <c r="G169" s="11">
        <v>-1</v>
      </c>
      <c r="H169" s="11" t="s">
        <v>794</v>
      </c>
      <c r="I169" s="11">
        <v>-1</v>
      </c>
      <c r="J169" s="11">
        <v>1</v>
      </c>
      <c r="K169" s="11">
        <v>0</v>
      </c>
      <c r="L169" s="11" t="s">
        <v>79</v>
      </c>
      <c r="M169" s="6" t="s">
        <v>795</v>
      </c>
      <c r="N169" s="6" t="s">
        <v>1096</v>
      </c>
      <c r="O169" s="11" t="str">
        <f t="shared" si="16"/>
        <v>PMC</v>
      </c>
    </row>
    <row r="170" spans="1:15">
      <c r="A170" s="6" t="s">
        <v>1097</v>
      </c>
      <c r="B170" s="6" t="s">
        <v>792</v>
      </c>
      <c r="C170" s="6" t="s">
        <v>45</v>
      </c>
      <c r="D170" s="11" t="s">
        <v>793</v>
      </c>
      <c r="E170" s="11">
        <v>1</v>
      </c>
      <c r="F170" s="11" t="s">
        <v>794</v>
      </c>
      <c r="G170" s="11">
        <v>-1</v>
      </c>
      <c r="H170" s="11" t="s">
        <v>794</v>
      </c>
      <c r="I170" s="11">
        <v>-1</v>
      </c>
      <c r="J170" s="11">
        <v>1</v>
      </c>
      <c r="K170" s="11">
        <v>0</v>
      </c>
      <c r="L170" s="11" t="s">
        <v>79</v>
      </c>
      <c r="M170" s="6" t="s">
        <v>795</v>
      </c>
      <c r="N170" s="6" t="s">
        <v>1098</v>
      </c>
      <c r="O170" s="11" t="str">
        <f t="shared" si="16"/>
        <v>PMC</v>
      </c>
    </row>
    <row r="171" spans="1:15">
      <c r="A171" s="6" t="s">
        <v>1099</v>
      </c>
      <c r="B171" s="6" t="s">
        <v>792</v>
      </c>
      <c r="C171" s="6" t="s">
        <v>45</v>
      </c>
      <c r="D171" s="11" t="s">
        <v>793</v>
      </c>
      <c r="E171" s="11">
        <v>1</v>
      </c>
      <c r="F171" s="11" t="s">
        <v>794</v>
      </c>
      <c r="G171" s="11">
        <v>-1</v>
      </c>
      <c r="H171" s="11" t="s">
        <v>794</v>
      </c>
      <c r="I171" s="11">
        <v>-100</v>
      </c>
      <c r="J171" s="11">
        <v>100</v>
      </c>
      <c r="K171" s="11">
        <v>0</v>
      </c>
      <c r="L171" s="11" t="s">
        <v>79</v>
      </c>
      <c r="M171" s="6" t="s">
        <v>795</v>
      </c>
      <c r="N171" s="6" t="s">
        <v>1100</v>
      </c>
      <c r="O171" s="11" t="str">
        <f t="shared" si="16"/>
        <v>PMC</v>
      </c>
    </row>
    <row r="172" spans="1:15">
      <c r="A172" s="6" t="s">
        <v>1101</v>
      </c>
      <c r="B172" s="6" t="s">
        <v>792</v>
      </c>
      <c r="C172" s="6" t="s">
        <v>45</v>
      </c>
      <c r="D172" s="11" t="s">
        <v>793</v>
      </c>
      <c r="E172" s="11">
        <v>1</v>
      </c>
      <c r="F172" s="11" t="s">
        <v>794</v>
      </c>
      <c r="G172" s="11">
        <v>-1</v>
      </c>
      <c r="H172" s="11" t="s">
        <v>794</v>
      </c>
      <c r="I172" s="11">
        <v>-100</v>
      </c>
      <c r="J172" s="11">
        <v>100</v>
      </c>
      <c r="K172" s="11">
        <v>0</v>
      </c>
      <c r="L172" s="11" t="s">
        <v>79</v>
      </c>
      <c r="M172" s="6" t="s">
        <v>795</v>
      </c>
      <c r="N172" s="6" t="s">
        <v>1102</v>
      </c>
      <c r="O172" s="11" t="str">
        <f t="shared" si="16"/>
        <v>PMC</v>
      </c>
    </row>
    <row r="173" spans="1:15">
      <c r="A173" s="6" t="s">
        <v>1103</v>
      </c>
      <c r="B173" s="6" t="s">
        <v>792</v>
      </c>
      <c r="C173" s="6" t="s">
        <v>45</v>
      </c>
      <c r="D173" s="11" t="s">
        <v>793</v>
      </c>
      <c r="E173" s="11">
        <v>1</v>
      </c>
      <c r="F173" s="11" t="s">
        <v>794</v>
      </c>
      <c r="G173" s="11">
        <v>-1</v>
      </c>
      <c r="H173" s="11" t="s">
        <v>794</v>
      </c>
      <c r="I173" s="11">
        <v>-1</v>
      </c>
      <c r="J173" s="11">
        <v>1</v>
      </c>
      <c r="K173" s="11">
        <v>0</v>
      </c>
      <c r="L173" s="11" t="s">
        <v>79</v>
      </c>
      <c r="M173" s="6" t="s">
        <v>795</v>
      </c>
      <c r="N173" s="6" t="s">
        <v>1104</v>
      </c>
      <c r="O173" s="11" t="str">
        <f t="shared" si="16"/>
        <v>PMC</v>
      </c>
    </row>
    <row r="174" spans="1:15">
      <c r="A174" s="6" t="s">
        <v>1105</v>
      </c>
      <c r="B174" s="6" t="s">
        <v>792</v>
      </c>
      <c r="C174" s="6" t="s">
        <v>45</v>
      </c>
      <c r="D174" s="11" t="s">
        <v>793</v>
      </c>
      <c r="E174" s="11">
        <v>1</v>
      </c>
      <c r="F174" s="11" t="s">
        <v>794</v>
      </c>
      <c r="G174" s="11">
        <v>-1</v>
      </c>
      <c r="H174" s="11" t="s">
        <v>794</v>
      </c>
      <c r="I174" s="11">
        <v>-1</v>
      </c>
      <c r="J174" s="11">
        <v>1</v>
      </c>
      <c r="K174" s="11">
        <v>0</v>
      </c>
      <c r="L174" s="11" t="s">
        <v>79</v>
      </c>
      <c r="M174" s="6" t="s">
        <v>795</v>
      </c>
      <c r="N174" s="6" t="s">
        <v>1106</v>
      </c>
      <c r="O174" s="11" t="str">
        <f t="shared" si="16"/>
        <v>PMC</v>
      </c>
    </row>
    <row r="175" spans="1:15">
      <c r="A175" s="6" t="s">
        <v>1107</v>
      </c>
      <c r="B175" s="6" t="s">
        <v>792</v>
      </c>
      <c r="C175" s="6" t="s">
        <v>45</v>
      </c>
      <c r="D175" s="11" t="s">
        <v>793</v>
      </c>
      <c r="E175" s="11">
        <v>1</v>
      </c>
      <c r="F175" s="11" t="s">
        <v>794</v>
      </c>
      <c r="G175" s="11">
        <v>-1</v>
      </c>
      <c r="H175" s="11" t="s">
        <v>794</v>
      </c>
      <c r="I175" s="11">
        <v>0</v>
      </c>
      <c r="J175" s="11">
        <v>1000</v>
      </c>
      <c r="K175" s="11">
        <v>0</v>
      </c>
      <c r="L175" s="11" t="s">
        <v>108</v>
      </c>
      <c r="M175" s="6" t="s">
        <v>795</v>
      </c>
      <c r="N175" s="6" t="s">
        <v>1108</v>
      </c>
      <c r="O175" s="11" t="str">
        <f t="shared" si="16"/>
        <v>PMC</v>
      </c>
    </row>
    <row r="176" spans="1:15">
      <c r="A176" s="6" t="s">
        <v>1109</v>
      </c>
      <c r="B176" s="6" t="s">
        <v>792</v>
      </c>
      <c r="C176" s="6" t="s">
        <v>45</v>
      </c>
      <c r="D176" s="11" t="s">
        <v>793</v>
      </c>
      <c r="E176" s="11">
        <v>1</v>
      </c>
      <c r="F176" s="11" t="s">
        <v>794</v>
      </c>
      <c r="G176" s="11">
        <v>-1</v>
      </c>
      <c r="H176" s="11" t="s">
        <v>794</v>
      </c>
      <c r="I176" s="11">
        <v>-250</v>
      </c>
      <c r="J176" s="11">
        <v>250</v>
      </c>
      <c r="K176" s="11">
        <v>0</v>
      </c>
      <c r="L176" s="11" t="s">
        <v>108</v>
      </c>
      <c r="M176" s="6" t="s">
        <v>795</v>
      </c>
      <c r="N176" s="6" t="s">
        <v>1110</v>
      </c>
      <c r="O176" s="11" t="str">
        <f t="shared" si="16"/>
        <v>PMC</v>
      </c>
    </row>
    <row r="177" spans="1:15">
      <c r="A177" s="6" t="s">
        <v>1111</v>
      </c>
      <c r="B177" s="6" t="s">
        <v>792</v>
      </c>
      <c r="C177" s="6" t="s">
        <v>45</v>
      </c>
      <c r="D177" s="11" t="s">
        <v>793</v>
      </c>
      <c r="E177" s="11">
        <v>1</v>
      </c>
      <c r="F177" s="11" t="s">
        <v>794</v>
      </c>
      <c r="G177" s="11">
        <v>-1</v>
      </c>
      <c r="H177" s="11" t="s">
        <v>794</v>
      </c>
      <c r="I177" s="11">
        <v>-250</v>
      </c>
      <c r="J177" s="11">
        <v>250</v>
      </c>
      <c r="K177" s="11">
        <v>0</v>
      </c>
      <c r="L177" s="11" t="s">
        <v>108</v>
      </c>
      <c r="M177" s="6" t="s">
        <v>795</v>
      </c>
      <c r="N177" s="6" t="s">
        <v>1112</v>
      </c>
      <c r="O177" s="11" t="str">
        <f t="shared" si="16"/>
        <v>PMC</v>
      </c>
    </row>
    <row r="178" spans="1:15">
      <c r="A178" s="6" t="s">
        <v>1113</v>
      </c>
      <c r="B178" s="6" t="s">
        <v>792</v>
      </c>
      <c r="C178" s="6" t="s">
        <v>45</v>
      </c>
      <c r="D178" s="11" t="s">
        <v>793</v>
      </c>
      <c r="E178" s="11">
        <v>1</v>
      </c>
      <c r="F178" s="11" t="s">
        <v>794</v>
      </c>
      <c r="G178" s="11">
        <v>-1</v>
      </c>
      <c r="H178" s="11" t="s">
        <v>794</v>
      </c>
      <c r="I178" s="11">
        <v>-1</v>
      </c>
      <c r="J178" s="11">
        <v>1</v>
      </c>
      <c r="K178" s="11">
        <v>0</v>
      </c>
      <c r="L178" s="11" t="s">
        <v>108</v>
      </c>
      <c r="M178" s="6" t="s">
        <v>795</v>
      </c>
      <c r="N178" s="6" t="s">
        <v>1114</v>
      </c>
      <c r="O178" s="11" t="str">
        <f t="shared" si="16"/>
        <v>PMC</v>
      </c>
    </row>
    <row r="179" spans="1:15">
      <c r="A179" s="6" t="s">
        <v>1115</v>
      </c>
      <c r="B179" s="6" t="s">
        <v>792</v>
      </c>
      <c r="C179" s="6" t="s">
        <v>45</v>
      </c>
      <c r="D179" s="11" t="s">
        <v>793</v>
      </c>
      <c r="E179" s="11">
        <v>1</v>
      </c>
      <c r="F179" s="11" t="s">
        <v>794</v>
      </c>
      <c r="G179" s="11">
        <v>-1</v>
      </c>
      <c r="H179" s="11" t="s">
        <v>794</v>
      </c>
      <c r="I179" s="11">
        <v>-1.1</v>
      </c>
      <c r="J179" s="11">
        <v>1.1</v>
      </c>
      <c r="K179" s="11">
        <v>0</v>
      </c>
      <c r="L179" s="11" t="s">
        <v>108</v>
      </c>
      <c r="M179" s="6" t="s">
        <v>795</v>
      </c>
      <c r="N179" s="6" t="s">
        <v>1116</v>
      </c>
      <c r="O179" s="11" t="str">
        <f t="shared" si="16"/>
        <v>PMC</v>
      </c>
    </row>
    <row r="180" spans="1:15">
      <c r="A180" s="6" t="s">
        <v>1117</v>
      </c>
      <c r="B180" s="6" t="s">
        <v>792</v>
      </c>
      <c r="C180" s="6" t="s">
        <v>45</v>
      </c>
      <c r="D180" s="11" t="s">
        <v>793</v>
      </c>
      <c r="E180" s="11">
        <v>1</v>
      </c>
      <c r="F180" s="11" t="s">
        <v>794</v>
      </c>
      <c r="G180" s="11">
        <v>-1</v>
      </c>
      <c r="H180" s="11" t="s">
        <v>794</v>
      </c>
      <c r="I180" s="11">
        <v>-1.1</v>
      </c>
      <c r="J180" s="11">
        <v>1.1</v>
      </c>
      <c r="K180" s="11">
        <v>0</v>
      </c>
      <c r="L180" s="11" t="s">
        <v>108</v>
      </c>
      <c r="M180" s="6" t="s">
        <v>795</v>
      </c>
      <c r="N180" s="6" t="s">
        <v>1118</v>
      </c>
      <c r="O180" s="11" t="str">
        <f t="shared" ref="O180:O185" si="18">MID(A180,1,3)</f>
        <v>PMC</v>
      </c>
    </row>
    <row r="181" spans="1:15">
      <c r="A181" s="6" t="s">
        <v>1119</v>
      </c>
      <c r="B181" s="6" t="s">
        <v>792</v>
      </c>
      <c r="C181" s="6" t="s">
        <v>45</v>
      </c>
      <c r="D181" s="11" t="s">
        <v>793</v>
      </c>
      <c r="E181" s="11">
        <v>1</v>
      </c>
      <c r="F181" s="11" t="s">
        <v>794</v>
      </c>
      <c r="G181" s="11">
        <v>-1</v>
      </c>
      <c r="H181" s="11" t="s">
        <v>794</v>
      </c>
      <c r="I181" s="11">
        <v>-1000</v>
      </c>
      <c r="J181" s="11">
        <v>1000</v>
      </c>
      <c r="K181" s="11">
        <v>0</v>
      </c>
      <c r="L181" s="11" t="s">
        <v>172</v>
      </c>
      <c r="M181" s="6" t="s">
        <v>795</v>
      </c>
      <c r="N181" s="6" t="s">
        <v>869</v>
      </c>
      <c r="O181" s="11" t="str">
        <f t="shared" si="18"/>
        <v>PMC</v>
      </c>
    </row>
    <row r="182" spans="1:15">
      <c r="A182" s="6" t="s">
        <v>1120</v>
      </c>
      <c r="B182" s="6" t="s">
        <v>792</v>
      </c>
      <c r="C182" s="6" t="s">
        <v>45</v>
      </c>
      <c r="D182" s="11" t="s">
        <v>793</v>
      </c>
      <c r="E182" s="11">
        <v>1</v>
      </c>
      <c r="F182" s="11" t="s">
        <v>794</v>
      </c>
      <c r="G182" s="11">
        <v>-1</v>
      </c>
      <c r="H182" s="11" t="s">
        <v>794</v>
      </c>
      <c r="I182" s="11">
        <v>-1000</v>
      </c>
      <c r="J182" s="11">
        <v>1000</v>
      </c>
      <c r="K182" s="11">
        <v>0</v>
      </c>
      <c r="L182" s="11" t="s">
        <v>172</v>
      </c>
      <c r="M182" s="6" t="s">
        <v>795</v>
      </c>
      <c r="N182" s="6" t="s">
        <v>873</v>
      </c>
      <c r="O182" s="11" t="str">
        <f t="shared" si="18"/>
        <v>PMC</v>
      </c>
    </row>
    <row r="183" spans="1:15">
      <c r="A183" s="6" t="s">
        <v>1121</v>
      </c>
      <c r="B183" s="6" t="s">
        <v>792</v>
      </c>
      <c r="C183" s="6" t="s">
        <v>45</v>
      </c>
      <c r="D183" s="11" t="s">
        <v>793</v>
      </c>
      <c r="E183" s="11">
        <v>1</v>
      </c>
      <c r="F183" s="11" t="s">
        <v>794</v>
      </c>
      <c r="G183" s="11">
        <v>-1</v>
      </c>
      <c r="H183" s="11" t="s">
        <v>794</v>
      </c>
      <c r="I183" s="11">
        <v>-1000</v>
      </c>
      <c r="J183" s="11">
        <v>1000</v>
      </c>
      <c r="K183" s="11">
        <v>0</v>
      </c>
      <c r="L183" s="11" t="s">
        <v>172</v>
      </c>
      <c r="M183" s="6" t="s">
        <v>795</v>
      </c>
      <c r="N183" s="6" t="s">
        <v>873</v>
      </c>
      <c r="O183" s="11" t="str">
        <f t="shared" si="18"/>
        <v>PMC</v>
      </c>
    </row>
    <row r="184" spans="1:15">
      <c r="A184" s="6" t="s">
        <v>1122</v>
      </c>
      <c r="B184" s="6" t="s">
        <v>792</v>
      </c>
      <c r="C184" s="6" t="s">
        <v>45</v>
      </c>
      <c r="D184" s="11" t="s">
        <v>793</v>
      </c>
      <c r="E184" s="11">
        <v>1</v>
      </c>
      <c r="F184" s="11" t="s">
        <v>794</v>
      </c>
      <c r="G184" s="11">
        <v>-1</v>
      </c>
      <c r="H184" s="11" t="s">
        <v>794</v>
      </c>
      <c r="I184" s="11">
        <v>-1.1</v>
      </c>
      <c r="J184" s="11">
        <v>1.1</v>
      </c>
      <c r="K184" s="11">
        <v>0</v>
      </c>
      <c r="L184" s="11" t="s">
        <v>108</v>
      </c>
      <c r="M184" s="6" t="s">
        <v>795</v>
      </c>
      <c r="N184" s="6" t="s">
        <v>1116</v>
      </c>
      <c r="O184" s="11" t="str">
        <f t="shared" si="18"/>
        <v>PMC</v>
      </c>
    </row>
    <row r="185" spans="1:15">
      <c r="A185" s="6" t="s">
        <v>1123</v>
      </c>
      <c r="B185" s="6" t="s">
        <v>792</v>
      </c>
      <c r="C185" s="6" t="s">
        <v>45</v>
      </c>
      <c r="D185" s="11" t="s">
        <v>793</v>
      </c>
      <c r="E185" s="11">
        <v>1</v>
      </c>
      <c r="F185" s="11" t="s">
        <v>794</v>
      </c>
      <c r="G185" s="11">
        <v>-1</v>
      </c>
      <c r="H185" s="11" t="s">
        <v>794</v>
      </c>
      <c r="I185" s="11">
        <v>-1.1</v>
      </c>
      <c r="J185" s="11">
        <v>1.1</v>
      </c>
      <c r="K185" s="11">
        <v>0</v>
      </c>
      <c r="L185" s="11" t="s">
        <v>108</v>
      </c>
      <c r="M185" s="6" t="s">
        <v>795</v>
      </c>
      <c r="N185" s="6" t="s">
        <v>1118</v>
      </c>
      <c r="O185" s="11" t="str">
        <f t="shared" si="18"/>
        <v>PMC</v>
      </c>
    </row>
    <row r="186" ht="11.25" customHeight="1" spans="1:15">
      <c r="A186" s="6" t="s">
        <v>1124</v>
      </c>
      <c r="B186" s="6" t="s">
        <v>792</v>
      </c>
      <c r="C186" s="6" t="s">
        <v>46</v>
      </c>
      <c r="D186" s="11" t="s">
        <v>793</v>
      </c>
      <c r="E186" s="11">
        <v>1</v>
      </c>
      <c r="F186" s="11" t="s">
        <v>794</v>
      </c>
      <c r="G186" s="11">
        <v>-1</v>
      </c>
      <c r="H186" s="11" t="s">
        <v>794</v>
      </c>
      <c r="I186" s="11">
        <v>0</v>
      </c>
      <c r="J186" s="11">
        <v>1</v>
      </c>
      <c r="K186" s="11">
        <v>0</v>
      </c>
      <c r="L186" s="11" t="s">
        <v>79</v>
      </c>
      <c r="M186" s="6" t="s">
        <v>795</v>
      </c>
      <c r="N186" s="6" t="s">
        <v>1125</v>
      </c>
      <c r="O186" s="11" t="str">
        <f t="shared" si="16"/>
        <v>PMC</v>
      </c>
    </row>
    <row r="187" spans="1:15">
      <c r="A187" s="6" t="s">
        <v>1126</v>
      </c>
      <c r="B187" s="6" t="s">
        <v>792</v>
      </c>
      <c r="C187" s="6" t="s">
        <v>47</v>
      </c>
      <c r="D187" s="11" t="s">
        <v>793</v>
      </c>
      <c r="E187" s="11">
        <v>1</v>
      </c>
      <c r="F187" s="11" t="s">
        <v>794</v>
      </c>
      <c r="G187" s="11">
        <v>-1</v>
      </c>
      <c r="H187" s="11" t="s">
        <v>794</v>
      </c>
      <c r="I187" s="11" t="s">
        <v>161</v>
      </c>
      <c r="J187" s="11" t="s">
        <v>161</v>
      </c>
      <c r="K187" s="11" t="s">
        <v>1127</v>
      </c>
      <c r="L187" s="11" t="s">
        <v>79</v>
      </c>
      <c r="M187" s="6" t="s">
        <v>795</v>
      </c>
      <c r="N187" s="6" t="s">
        <v>1048</v>
      </c>
      <c r="O187" s="11" t="str">
        <f t="shared" si="16"/>
        <v>PMC</v>
      </c>
    </row>
    <row r="188" spans="1:15">
      <c r="A188" s="6" t="s">
        <v>1128</v>
      </c>
      <c r="B188" s="6" t="s">
        <v>792</v>
      </c>
      <c r="C188" s="6" t="s">
        <v>46</v>
      </c>
      <c r="D188" s="11" t="s">
        <v>793</v>
      </c>
      <c r="E188" s="11">
        <v>1</v>
      </c>
      <c r="F188" s="11" t="s">
        <v>1041</v>
      </c>
      <c r="G188" s="11">
        <v>-1</v>
      </c>
      <c r="H188" s="11" t="s">
        <v>794</v>
      </c>
      <c r="I188" s="11">
        <v>0</v>
      </c>
      <c r="J188" s="11">
        <v>1</v>
      </c>
      <c r="K188" s="11">
        <v>1</v>
      </c>
      <c r="L188" s="11" t="s">
        <v>79</v>
      </c>
      <c r="M188" s="6" t="s">
        <v>795</v>
      </c>
      <c r="N188" s="6" t="s">
        <v>1042</v>
      </c>
      <c r="O188" s="11" t="str">
        <f t="shared" si="16"/>
        <v>PMC</v>
      </c>
    </row>
    <row r="189" spans="1:15">
      <c r="A189" s="6" t="s">
        <v>1129</v>
      </c>
      <c r="B189" s="6" t="s">
        <v>792</v>
      </c>
      <c r="C189" s="6" t="s">
        <v>45</v>
      </c>
      <c r="D189" s="11" t="s">
        <v>793</v>
      </c>
      <c r="E189" s="11">
        <v>1</v>
      </c>
      <c r="F189" s="11" t="s">
        <v>1041</v>
      </c>
      <c r="G189" s="11">
        <v>-1</v>
      </c>
      <c r="H189" s="11" t="s">
        <v>794</v>
      </c>
      <c r="I189" s="11">
        <v>0</v>
      </c>
      <c r="J189" s="11">
        <v>1000</v>
      </c>
      <c r="K189" s="11">
        <v>0</v>
      </c>
      <c r="L189" s="11" t="s">
        <v>750</v>
      </c>
      <c r="M189" s="6" t="s">
        <v>795</v>
      </c>
      <c r="N189" s="6" t="s">
        <v>1130</v>
      </c>
      <c r="O189" s="11" t="str">
        <f t="shared" si="16"/>
        <v>PMC</v>
      </c>
    </row>
    <row r="190" spans="1:15">
      <c r="A190" s="6" t="s">
        <v>1131</v>
      </c>
      <c r="B190" s="6" t="s">
        <v>792</v>
      </c>
      <c r="C190" s="6" t="s">
        <v>45</v>
      </c>
      <c r="D190" s="11" t="s">
        <v>793</v>
      </c>
      <c r="E190" s="11">
        <v>1</v>
      </c>
      <c r="F190" s="11" t="s">
        <v>794</v>
      </c>
      <c r="G190" s="11">
        <v>-1</v>
      </c>
      <c r="H190" s="11" t="s">
        <v>794</v>
      </c>
      <c r="I190" s="11">
        <v>-512</v>
      </c>
      <c r="J190" s="11">
        <v>512</v>
      </c>
      <c r="K190" s="11">
        <v>0</v>
      </c>
      <c r="L190" s="11" t="s">
        <v>94</v>
      </c>
      <c r="M190" s="6" t="s">
        <v>795</v>
      </c>
      <c r="N190" s="6" t="s">
        <v>1132</v>
      </c>
      <c r="O190" s="11" t="str">
        <f t="shared" si="16"/>
        <v>PMC</v>
      </c>
    </row>
    <row r="191" spans="1:15">
      <c r="A191" s="6" t="s">
        <v>1133</v>
      </c>
      <c r="B191" s="6" t="s">
        <v>792</v>
      </c>
      <c r="C191" s="6" t="s">
        <v>45</v>
      </c>
      <c r="D191" s="11" t="s">
        <v>793</v>
      </c>
      <c r="E191" s="11">
        <v>1</v>
      </c>
      <c r="F191" s="11" t="s">
        <v>794</v>
      </c>
      <c r="G191" s="11">
        <v>-1</v>
      </c>
      <c r="H191" s="11" t="s">
        <v>794</v>
      </c>
      <c r="I191" s="11">
        <v>-1.1</v>
      </c>
      <c r="J191" s="11">
        <v>1.1</v>
      </c>
      <c r="K191" s="11">
        <v>0</v>
      </c>
      <c r="L191" s="11" t="s">
        <v>79</v>
      </c>
      <c r="M191" s="6" t="s">
        <v>795</v>
      </c>
      <c r="N191" s="6" t="s">
        <v>1134</v>
      </c>
      <c r="O191" s="11" t="str">
        <f t="shared" si="16"/>
        <v>SVM</v>
      </c>
    </row>
    <row r="192" spans="1:15">
      <c r="A192" s="6" t="s">
        <v>1135</v>
      </c>
      <c r="B192" s="6" t="s">
        <v>792</v>
      </c>
      <c r="C192" s="6" t="s">
        <v>45</v>
      </c>
      <c r="D192" s="11" t="s">
        <v>793</v>
      </c>
      <c r="E192" s="11">
        <v>1</v>
      </c>
      <c r="F192" s="11" t="s">
        <v>794</v>
      </c>
      <c r="G192" s="11">
        <v>-1</v>
      </c>
      <c r="H192" s="11" t="s">
        <v>794</v>
      </c>
      <c r="I192" s="11">
        <v>-1.1</v>
      </c>
      <c r="J192" s="11">
        <v>1.1</v>
      </c>
      <c r="K192" s="11">
        <v>0</v>
      </c>
      <c r="L192" s="11" t="s">
        <v>79</v>
      </c>
      <c r="M192" s="6" t="s">
        <v>795</v>
      </c>
      <c r="N192" s="6" t="s">
        <v>1136</v>
      </c>
      <c r="O192" s="11" t="str">
        <f t="shared" si="16"/>
        <v>SVM</v>
      </c>
    </row>
    <row r="193" spans="1:15">
      <c r="A193" s="6" t="s">
        <v>1137</v>
      </c>
      <c r="B193" s="6" t="s">
        <v>792</v>
      </c>
      <c r="C193" s="6" t="s">
        <v>45</v>
      </c>
      <c r="D193" s="11" t="s">
        <v>793</v>
      </c>
      <c r="E193" s="11">
        <v>1</v>
      </c>
      <c r="F193" s="11" t="s">
        <v>794</v>
      </c>
      <c r="G193" s="11">
        <v>-1</v>
      </c>
      <c r="H193" s="11" t="s">
        <v>794</v>
      </c>
      <c r="I193" s="11">
        <v>-1.1</v>
      </c>
      <c r="J193" s="11">
        <v>1.1</v>
      </c>
      <c r="K193" s="11">
        <v>0</v>
      </c>
      <c r="L193" s="11" t="s">
        <v>79</v>
      </c>
      <c r="M193" s="6" t="s">
        <v>795</v>
      </c>
      <c r="N193" s="6" t="s">
        <v>1138</v>
      </c>
      <c r="O193" s="11" t="str">
        <f t="shared" si="16"/>
        <v>SVM</v>
      </c>
    </row>
    <row r="194" spans="1:15">
      <c r="A194" s="6" t="s">
        <v>1139</v>
      </c>
      <c r="B194" s="6" t="s">
        <v>792</v>
      </c>
      <c r="C194" s="6" t="s">
        <v>41</v>
      </c>
      <c r="D194" s="11" t="s">
        <v>793</v>
      </c>
      <c r="E194" s="11">
        <v>12</v>
      </c>
      <c r="F194" s="11" t="s">
        <v>1041</v>
      </c>
      <c r="G194" s="11">
        <v>-1</v>
      </c>
      <c r="H194" s="11" t="s">
        <v>794</v>
      </c>
      <c r="I194" s="11">
        <v>0</v>
      </c>
      <c r="J194" s="11">
        <v>65535</v>
      </c>
      <c r="K194" s="11">
        <v>0</v>
      </c>
      <c r="L194" s="11" t="s">
        <v>79</v>
      </c>
      <c r="M194" s="6" t="s">
        <v>795</v>
      </c>
      <c r="N194" s="6" t="s">
        <v>1140</v>
      </c>
      <c r="O194" s="11" t="str">
        <f t="shared" si="16"/>
        <v>SVM</v>
      </c>
    </row>
    <row r="195" spans="1:15">
      <c r="A195" s="6" t="s">
        <v>1141</v>
      </c>
      <c r="B195" s="6" t="s">
        <v>792</v>
      </c>
      <c r="C195" s="6" t="s">
        <v>41</v>
      </c>
      <c r="D195" s="11" t="s">
        <v>793</v>
      </c>
      <c r="E195" s="11">
        <v>1</v>
      </c>
      <c r="F195" s="11" t="s">
        <v>1041</v>
      </c>
      <c r="G195" s="11">
        <v>-1</v>
      </c>
      <c r="H195" s="11" t="s">
        <v>794</v>
      </c>
      <c r="I195" s="11">
        <v>0</v>
      </c>
      <c r="J195" s="11">
        <v>65535</v>
      </c>
      <c r="K195" s="11">
        <v>0</v>
      </c>
      <c r="L195" s="11" t="s">
        <v>750</v>
      </c>
      <c r="M195" s="6" t="s">
        <v>795</v>
      </c>
      <c r="N195" s="6" t="s">
        <v>1142</v>
      </c>
      <c r="O195" s="11" t="str">
        <f t="shared" si="16"/>
        <v>SVM</v>
      </c>
    </row>
    <row r="196" spans="1:15">
      <c r="A196" s="6" t="s">
        <v>1143</v>
      </c>
      <c r="B196" s="6" t="s">
        <v>792</v>
      </c>
      <c r="C196" s="6" t="s">
        <v>42</v>
      </c>
      <c r="D196" s="11" t="s">
        <v>793</v>
      </c>
      <c r="E196" s="11">
        <v>1</v>
      </c>
      <c r="F196" s="11" t="s">
        <v>794</v>
      </c>
      <c r="G196" s="11">
        <v>-1</v>
      </c>
      <c r="H196" s="11" t="s">
        <v>794</v>
      </c>
      <c r="I196" s="11">
        <v>-32768</v>
      </c>
      <c r="J196" s="11">
        <v>32767</v>
      </c>
      <c r="K196" s="11">
        <v>0</v>
      </c>
      <c r="L196" s="11" t="s">
        <v>79</v>
      </c>
      <c r="M196" s="6" t="s">
        <v>795</v>
      </c>
      <c r="N196" s="6" t="s">
        <v>1144</v>
      </c>
      <c r="O196" s="11" t="str">
        <f t="shared" si="16"/>
        <v>SVM</v>
      </c>
    </row>
    <row r="197" spans="1:15">
      <c r="A197" s="6" t="s">
        <v>1145</v>
      </c>
      <c r="B197" s="6" t="s">
        <v>792</v>
      </c>
      <c r="C197" s="6" t="s">
        <v>45</v>
      </c>
      <c r="D197" s="11" t="s">
        <v>793</v>
      </c>
      <c r="E197" s="11">
        <v>1</v>
      </c>
      <c r="F197" s="11" t="s">
        <v>794</v>
      </c>
      <c r="G197" s="11">
        <v>-1</v>
      </c>
      <c r="H197" s="11" t="s">
        <v>794</v>
      </c>
      <c r="I197" s="11">
        <v>-512</v>
      </c>
      <c r="J197" s="11">
        <v>512</v>
      </c>
      <c r="K197" s="11">
        <v>0</v>
      </c>
      <c r="L197" s="11" t="s">
        <v>94</v>
      </c>
      <c r="M197" s="6" t="s">
        <v>795</v>
      </c>
      <c r="N197" s="6" t="s">
        <v>1146</v>
      </c>
      <c r="O197" s="11" t="str">
        <f t="shared" ref="O197:O219" si="19">MID(A197,1,3)</f>
        <v>TLC</v>
      </c>
    </row>
    <row r="198" spans="1:15">
      <c r="A198" s="6" t="s">
        <v>1147</v>
      </c>
      <c r="B198" s="6" t="s">
        <v>792</v>
      </c>
      <c r="C198" s="6" t="s">
        <v>45</v>
      </c>
      <c r="D198" s="11" t="s">
        <v>793</v>
      </c>
      <c r="E198" s="11">
        <v>1</v>
      </c>
      <c r="F198" s="11" t="s">
        <v>794</v>
      </c>
      <c r="G198" s="11">
        <v>-1</v>
      </c>
      <c r="H198" s="11" t="s">
        <v>794</v>
      </c>
      <c r="I198" s="11">
        <v>-512</v>
      </c>
      <c r="J198" s="11">
        <v>512</v>
      </c>
      <c r="K198" s="11">
        <v>0</v>
      </c>
      <c r="L198" s="11" t="s">
        <v>94</v>
      </c>
      <c r="M198" s="6" t="s">
        <v>795</v>
      </c>
      <c r="N198" s="6" t="s">
        <v>1148</v>
      </c>
      <c r="O198" s="11" t="str">
        <f t="shared" si="19"/>
        <v>TLC</v>
      </c>
    </row>
    <row r="199" spans="1:15">
      <c r="A199" s="6" t="s">
        <v>1149</v>
      </c>
      <c r="B199" s="6" t="s">
        <v>792</v>
      </c>
      <c r="C199" s="6" t="s">
        <v>45</v>
      </c>
      <c r="D199" s="11" t="s">
        <v>793</v>
      </c>
      <c r="E199" s="11">
        <v>1</v>
      </c>
      <c r="F199" s="11" t="s">
        <v>794</v>
      </c>
      <c r="G199" s="11">
        <v>-1</v>
      </c>
      <c r="H199" s="11" t="s">
        <v>794</v>
      </c>
      <c r="I199" s="11">
        <v>-512</v>
      </c>
      <c r="J199" s="11">
        <v>512</v>
      </c>
      <c r="K199" s="11">
        <v>0</v>
      </c>
      <c r="L199" s="11" t="s">
        <v>94</v>
      </c>
      <c r="M199" s="6" t="s">
        <v>795</v>
      </c>
      <c r="N199" s="6" t="s">
        <v>1150</v>
      </c>
      <c r="O199" s="11" t="str">
        <f t="shared" si="19"/>
        <v>TLC</v>
      </c>
    </row>
    <row r="200" spans="1:15">
      <c r="A200" s="6" t="s">
        <v>1151</v>
      </c>
      <c r="B200" s="6" t="s">
        <v>792</v>
      </c>
      <c r="C200" s="6" t="s">
        <v>45</v>
      </c>
      <c r="D200" s="11" t="s">
        <v>793</v>
      </c>
      <c r="E200" s="11">
        <v>1</v>
      </c>
      <c r="F200" s="11" t="s">
        <v>794</v>
      </c>
      <c r="G200" s="11">
        <v>-1</v>
      </c>
      <c r="H200" s="11" t="s">
        <v>794</v>
      </c>
      <c r="I200" s="11">
        <v>-512</v>
      </c>
      <c r="J200" s="11">
        <v>512</v>
      </c>
      <c r="K200" s="11">
        <v>0</v>
      </c>
      <c r="L200" s="11" t="s">
        <v>94</v>
      </c>
      <c r="M200" s="6" t="s">
        <v>795</v>
      </c>
      <c r="N200" s="6" t="s">
        <v>1152</v>
      </c>
      <c r="O200" s="11" t="str">
        <f t="shared" si="19"/>
        <v>TLC</v>
      </c>
    </row>
    <row r="201" spans="1:15">
      <c r="A201" s="6" t="s">
        <v>1153</v>
      </c>
      <c r="B201" s="6" t="s">
        <v>792</v>
      </c>
      <c r="C201" s="6" t="s">
        <v>45</v>
      </c>
      <c r="D201" s="11" t="s">
        <v>793</v>
      </c>
      <c r="E201" s="11">
        <v>1</v>
      </c>
      <c r="F201" s="11" t="s">
        <v>794</v>
      </c>
      <c r="G201" s="11">
        <v>-1</v>
      </c>
      <c r="H201" s="11" t="s">
        <v>794</v>
      </c>
      <c r="I201" s="11">
        <v>-512</v>
      </c>
      <c r="J201" s="11">
        <v>512</v>
      </c>
      <c r="K201" s="11">
        <v>0</v>
      </c>
      <c r="L201" s="11" t="s">
        <v>94</v>
      </c>
      <c r="M201" s="6" t="s">
        <v>795</v>
      </c>
      <c r="N201" s="6" t="s">
        <v>1154</v>
      </c>
      <c r="O201" s="11" t="str">
        <f t="shared" si="19"/>
        <v>TLC</v>
      </c>
    </row>
    <row r="202" spans="1:15">
      <c r="A202" s="6" t="s">
        <v>1155</v>
      </c>
      <c r="B202" s="6" t="s">
        <v>792</v>
      </c>
      <c r="C202" s="6" t="s">
        <v>45</v>
      </c>
      <c r="D202" s="11" t="s">
        <v>793</v>
      </c>
      <c r="E202" s="11">
        <v>1</v>
      </c>
      <c r="F202" s="11" t="s">
        <v>794</v>
      </c>
      <c r="G202" s="11">
        <v>-1</v>
      </c>
      <c r="H202" s="11" t="s">
        <v>794</v>
      </c>
      <c r="I202" s="11">
        <v>-512</v>
      </c>
      <c r="J202" s="11">
        <v>512</v>
      </c>
      <c r="K202" s="11">
        <v>0</v>
      </c>
      <c r="L202" s="11" t="s">
        <v>94</v>
      </c>
      <c r="M202" s="6" t="s">
        <v>795</v>
      </c>
      <c r="N202" s="6" t="s">
        <v>1156</v>
      </c>
      <c r="O202" s="11" t="str">
        <f t="shared" si="19"/>
        <v>TLC</v>
      </c>
    </row>
    <row r="203" spans="1:15">
      <c r="A203" s="6" t="s">
        <v>1157</v>
      </c>
      <c r="B203" s="6" t="s">
        <v>792</v>
      </c>
      <c r="C203" s="6" t="s">
        <v>45</v>
      </c>
      <c r="D203" s="11" t="s">
        <v>793</v>
      </c>
      <c r="E203" s="11">
        <v>1</v>
      </c>
      <c r="F203" s="11" t="s">
        <v>794</v>
      </c>
      <c r="G203" s="11">
        <v>-1</v>
      </c>
      <c r="H203" s="11" t="s">
        <v>794</v>
      </c>
      <c r="I203" s="11">
        <v>-512</v>
      </c>
      <c r="J203" s="11">
        <v>512</v>
      </c>
      <c r="K203" s="11">
        <v>0</v>
      </c>
      <c r="L203" s="11" t="s">
        <v>94</v>
      </c>
      <c r="M203" s="6" t="s">
        <v>795</v>
      </c>
      <c r="N203" s="6" t="s">
        <v>1158</v>
      </c>
      <c r="O203" s="11" t="str">
        <f t="shared" si="19"/>
        <v>TLC</v>
      </c>
    </row>
    <row r="204" spans="1:15">
      <c r="A204" s="6" t="s">
        <v>1159</v>
      </c>
      <c r="B204" s="6" t="s">
        <v>792</v>
      </c>
      <c r="C204" s="6" t="s">
        <v>45</v>
      </c>
      <c r="D204" s="11" t="s">
        <v>793</v>
      </c>
      <c r="E204" s="11">
        <v>1</v>
      </c>
      <c r="F204" s="11" t="s">
        <v>794</v>
      </c>
      <c r="G204" s="11">
        <v>-1</v>
      </c>
      <c r="H204" s="11" t="s">
        <v>794</v>
      </c>
      <c r="I204" s="11">
        <v>-512</v>
      </c>
      <c r="J204" s="11">
        <v>512</v>
      </c>
      <c r="K204" s="11">
        <v>0</v>
      </c>
      <c r="L204" s="11" t="s">
        <v>94</v>
      </c>
      <c r="M204" s="6" t="s">
        <v>795</v>
      </c>
      <c r="N204" s="6" t="s">
        <v>1160</v>
      </c>
      <c r="O204" s="11" t="str">
        <f t="shared" si="19"/>
        <v>TLC</v>
      </c>
    </row>
    <row r="205" spans="1:15">
      <c r="A205" s="6" t="s">
        <v>1161</v>
      </c>
      <c r="B205" s="6" t="s">
        <v>792</v>
      </c>
      <c r="C205" s="6" t="s">
        <v>45</v>
      </c>
      <c r="D205" s="11" t="s">
        <v>793</v>
      </c>
      <c r="E205" s="11">
        <v>1</v>
      </c>
      <c r="F205" s="11" t="s">
        <v>794</v>
      </c>
      <c r="G205" s="11">
        <v>-1</v>
      </c>
      <c r="H205" s="11" t="s">
        <v>794</v>
      </c>
      <c r="I205" s="11">
        <v>-512</v>
      </c>
      <c r="J205" s="11">
        <v>512</v>
      </c>
      <c r="K205" s="11">
        <v>0</v>
      </c>
      <c r="L205" s="11" t="s">
        <v>94</v>
      </c>
      <c r="M205" s="6" t="s">
        <v>795</v>
      </c>
      <c r="N205" s="6" t="s">
        <v>1162</v>
      </c>
      <c r="O205" s="11" t="str">
        <f t="shared" si="19"/>
        <v>TLC</v>
      </c>
    </row>
    <row r="206" spans="1:15">
      <c r="A206" s="6" t="s">
        <v>1163</v>
      </c>
      <c r="B206" s="6" t="s">
        <v>792</v>
      </c>
      <c r="C206" s="6" t="s">
        <v>45</v>
      </c>
      <c r="D206" s="11" t="s">
        <v>793</v>
      </c>
      <c r="E206" s="11">
        <v>1</v>
      </c>
      <c r="F206" s="11" t="s">
        <v>794</v>
      </c>
      <c r="G206" s="11">
        <v>-1</v>
      </c>
      <c r="H206" s="11" t="s">
        <v>794</v>
      </c>
      <c r="I206" s="11">
        <v>-512</v>
      </c>
      <c r="J206" s="11">
        <v>512</v>
      </c>
      <c r="K206" s="11">
        <v>0</v>
      </c>
      <c r="L206" s="11" t="s">
        <v>94</v>
      </c>
      <c r="M206" s="6" t="s">
        <v>795</v>
      </c>
      <c r="N206" s="6" t="s">
        <v>1164</v>
      </c>
      <c r="O206" s="11" t="str">
        <f t="shared" si="19"/>
        <v>TLC</v>
      </c>
    </row>
    <row r="207" spans="1:15">
      <c r="A207" s="6" t="s">
        <v>1165</v>
      </c>
      <c r="B207" s="6" t="s">
        <v>792</v>
      </c>
      <c r="C207" s="6" t="s">
        <v>45</v>
      </c>
      <c r="D207" s="11" t="s">
        <v>793</v>
      </c>
      <c r="E207" s="11">
        <v>1</v>
      </c>
      <c r="F207" s="11" t="s">
        <v>794</v>
      </c>
      <c r="G207" s="11">
        <v>-1</v>
      </c>
      <c r="H207" s="11" t="s">
        <v>794</v>
      </c>
      <c r="I207" s="11">
        <v>-512</v>
      </c>
      <c r="J207" s="11">
        <v>512</v>
      </c>
      <c r="K207" s="11">
        <v>0</v>
      </c>
      <c r="L207" s="11" t="s">
        <v>169</v>
      </c>
      <c r="M207" s="6" t="s">
        <v>795</v>
      </c>
      <c r="N207" s="6" t="s">
        <v>1166</v>
      </c>
      <c r="O207" s="11" t="str">
        <f t="shared" si="19"/>
        <v>TLC</v>
      </c>
    </row>
    <row r="208" spans="1:15">
      <c r="A208" s="6" t="s">
        <v>1167</v>
      </c>
      <c r="B208" s="6" t="s">
        <v>792</v>
      </c>
      <c r="C208" s="6" t="s">
        <v>45</v>
      </c>
      <c r="D208" s="11" t="s">
        <v>793</v>
      </c>
      <c r="E208" s="11">
        <v>1</v>
      </c>
      <c r="F208" s="11" t="s">
        <v>794</v>
      </c>
      <c r="G208" s="11">
        <v>-1</v>
      </c>
      <c r="H208" s="11" t="s">
        <v>794</v>
      </c>
      <c r="I208" s="11">
        <v>-512</v>
      </c>
      <c r="J208" s="11">
        <v>512</v>
      </c>
      <c r="K208" s="11">
        <v>0</v>
      </c>
      <c r="L208" s="11" t="s">
        <v>169</v>
      </c>
      <c r="M208" s="6" t="s">
        <v>795</v>
      </c>
      <c r="N208" s="6" t="s">
        <v>1168</v>
      </c>
      <c r="O208" s="11" t="str">
        <f t="shared" si="19"/>
        <v>TLC</v>
      </c>
    </row>
    <row r="209" spans="1:15">
      <c r="A209" s="6" t="s">
        <v>1169</v>
      </c>
      <c r="B209" s="6" t="s">
        <v>792</v>
      </c>
      <c r="C209" s="6" t="s">
        <v>45</v>
      </c>
      <c r="D209" s="11" t="s">
        <v>793</v>
      </c>
      <c r="E209" s="11">
        <v>1</v>
      </c>
      <c r="F209" s="11" t="s">
        <v>794</v>
      </c>
      <c r="G209" s="11">
        <v>-1</v>
      </c>
      <c r="H209" s="11" t="s">
        <v>794</v>
      </c>
      <c r="I209" s="11">
        <v>-512</v>
      </c>
      <c r="J209" s="11">
        <v>512</v>
      </c>
      <c r="K209" s="11">
        <v>0</v>
      </c>
      <c r="L209" s="11" t="s">
        <v>169</v>
      </c>
      <c r="M209" s="6" t="s">
        <v>795</v>
      </c>
      <c r="N209" s="6" t="s">
        <v>1170</v>
      </c>
      <c r="O209" s="11" t="str">
        <f t="shared" si="19"/>
        <v>TLC</v>
      </c>
    </row>
    <row r="210" spans="1:15">
      <c r="A210" s="6" t="s">
        <v>1171</v>
      </c>
      <c r="B210" s="6" t="s">
        <v>792</v>
      </c>
      <c r="C210" s="6" t="s">
        <v>45</v>
      </c>
      <c r="D210" s="11" t="s">
        <v>793</v>
      </c>
      <c r="E210" s="11">
        <v>1</v>
      </c>
      <c r="F210" s="11" t="s">
        <v>794</v>
      </c>
      <c r="G210" s="11">
        <v>-1</v>
      </c>
      <c r="H210" s="11" t="s">
        <v>794</v>
      </c>
      <c r="I210" s="11">
        <v>-512</v>
      </c>
      <c r="J210" s="11">
        <v>512</v>
      </c>
      <c r="K210" s="11">
        <v>0</v>
      </c>
      <c r="L210" s="11" t="s">
        <v>169</v>
      </c>
      <c r="M210" s="6" t="s">
        <v>795</v>
      </c>
      <c r="N210" s="6" t="s">
        <v>1172</v>
      </c>
      <c r="O210" s="11" t="str">
        <f t="shared" si="19"/>
        <v>TLC</v>
      </c>
    </row>
    <row r="211" spans="1:15">
      <c r="A211" s="6" t="s">
        <v>1173</v>
      </c>
      <c r="B211" s="6" t="s">
        <v>792</v>
      </c>
      <c r="C211" s="6" t="s">
        <v>50</v>
      </c>
      <c r="D211" s="11" t="s">
        <v>793</v>
      </c>
      <c r="E211" s="11">
        <v>1</v>
      </c>
      <c r="F211" s="11" t="s">
        <v>794</v>
      </c>
      <c r="G211" s="11">
        <v>-1</v>
      </c>
      <c r="H211" s="11" t="s">
        <v>794</v>
      </c>
      <c r="I211" s="11" t="s">
        <v>1174</v>
      </c>
      <c r="J211" s="11" t="s">
        <v>1174</v>
      </c>
      <c r="K211" s="11" t="s">
        <v>1175</v>
      </c>
      <c r="L211" s="11" t="s">
        <v>79</v>
      </c>
      <c r="M211" s="6" t="s">
        <v>795</v>
      </c>
      <c r="N211" s="6" t="s">
        <v>1176</v>
      </c>
      <c r="O211" s="11" t="str">
        <f t="shared" si="19"/>
        <v>TLC</v>
      </c>
    </row>
    <row r="212" spans="1:15">
      <c r="A212" s="6" t="s">
        <v>1177</v>
      </c>
      <c r="B212" s="6" t="s">
        <v>792</v>
      </c>
      <c r="C212" s="6" t="s">
        <v>50</v>
      </c>
      <c r="D212" s="11" t="s">
        <v>793</v>
      </c>
      <c r="E212" s="11">
        <v>1</v>
      </c>
      <c r="F212" s="11" t="s">
        <v>794</v>
      </c>
      <c r="G212" s="11">
        <v>-1</v>
      </c>
      <c r="H212" s="11" t="s">
        <v>794</v>
      </c>
      <c r="I212" s="11" t="s">
        <v>1174</v>
      </c>
      <c r="J212" s="11" t="s">
        <v>1174</v>
      </c>
      <c r="K212" s="11" t="s">
        <v>1175</v>
      </c>
      <c r="L212" s="11" t="s">
        <v>79</v>
      </c>
      <c r="M212" s="6" t="s">
        <v>795</v>
      </c>
      <c r="N212" s="6" t="s">
        <v>1178</v>
      </c>
      <c r="O212" s="11" t="str">
        <f t="shared" si="19"/>
        <v>TLC</v>
      </c>
    </row>
    <row r="213" spans="1:15">
      <c r="A213" s="6" t="s">
        <v>1179</v>
      </c>
      <c r="B213" s="6" t="s">
        <v>792</v>
      </c>
      <c r="C213" s="6" t="s">
        <v>50</v>
      </c>
      <c r="D213" s="11" t="s">
        <v>793</v>
      </c>
      <c r="E213" s="11">
        <v>1</v>
      </c>
      <c r="F213" s="11" t="s">
        <v>794</v>
      </c>
      <c r="G213" s="11">
        <v>-1</v>
      </c>
      <c r="H213" s="11" t="s">
        <v>794</v>
      </c>
      <c r="I213" s="11" t="s">
        <v>1174</v>
      </c>
      <c r="J213" s="11" t="s">
        <v>1174</v>
      </c>
      <c r="K213" s="11" t="s">
        <v>1175</v>
      </c>
      <c r="L213" s="11" t="s">
        <v>79</v>
      </c>
      <c r="M213" s="6" t="s">
        <v>795</v>
      </c>
      <c r="N213" s="6" t="s">
        <v>1180</v>
      </c>
      <c r="O213" s="11" t="str">
        <f t="shared" si="19"/>
        <v>TLC</v>
      </c>
    </row>
    <row r="214" spans="1:15">
      <c r="A214" s="6" t="s">
        <v>1181</v>
      </c>
      <c r="B214" s="6" t="s">
        <v>792</v>
      </c>
      <c r="C214" s="6" t="s">
        <v>50</v>
      </c>
      <c r="D214" s="11" t="s">
        <v>793</v>
      </c>
      <c r="E214" s="11">
        <v>1</v>
      </c>
      <c r="F214" s="11" t="s">
        <v>794</v>
      </c>
      <c r="G214" s="11">
        <v>-1</v>
      </c>
      <c r="H214" s="11" t="s">
        <v>794</v>
      </c>
      <c r="I214" s="11" t="s">
        <v>1174</v>
      </c>
      <c r="J214" s="11" t="s">
        <v>1174</v>
      </c>
      <c r="K214" s="11" t="s">
        <v>1175</v>
      </c>
      <c r="L214" s="11" t="s">
        <v>79</v>
      </c>
      <c r="M214" s="6" t="s">
        <v>795</v>
      </c>
      <c r="N214" s="6" t="s">
        <v>1182</v>
      </c>
      <c r="O214" s="11" t="str">
        <f t="shared" si="19"/>
        <v>TLC</v>
      </c>
    </row>
    <row r="215" spans="1:15">
      <c r="A215" s="6" t="s">
        <v>1183</v>
      </c>
      <c r="B215" s="6" t="s">
        <v>792</v>
      </c>
      <c r="C215" s="6" t="s">
        <v>50</v>
      </c>
      <c r="D215" s="11" t="s">
        <v>793</v>
      </c>
      <c r="E215" s="11">
        <v>1</v>
      </c>
      <c r="F215" s="11" t="s">
        <v>794</v>
      </c>
      <c r="G215" s="11">
        <v>-1</v>
      </c>
      <c r="H215" s="11" t="s">
        <v>794</v>
      </c>
      <c r="I215" s="11" t="s">
        <v>1174</v>
      </c>
      <c r="J215" s="11" t="s">
        <v>1174</v>
      </c>
      <c r="K215" s="11" t="s">
        <v>1175</v>
      </c>
      <c r="L215" s="11" t="s">
        <v>79</v>
      </c>
      <c r="M215" s="6" t="s">
        <v>795</v>
      </c>
      <c r="N215" s="6" t="s">
        <v>1184</v>
      </c>
      <c r="O215" s="11" t="str">
        <f t="shared" si="19"/>
        <v>TLC</v>
      </c>
    </row>
    <row r="216" spans="1:15">
      <c r="A216" s="6" t="s">
        <v>1185</v>
      </c>
      <c r="B216" s="6" t="s">
        <v>792</v>
      </c>
      <c r="C216" s="6" t="s">
        <v>50</v>
      </c>
      <c r="D216" s="11" t="s">
        <v>793</v>
      </c>
      <c r="E216" s="11">
        <v>1</v>
      </c>
      <c r="F216" s="11" t="s">
        <v>794</v>
      </c>
      <c r="G216" s="11">
        <v>-1</v>
      </c>
      <c r="H216" s="11" t="s">
        <v>794</v>
      </c>
      <c r="I216" s="11" t="s">
        <v>1174</v>
      </c>
      <c r="J216" s="11" t="s">
        <v>1174</v>
      </c>
      <c r="K216" s="11" t="s">
        <v>1175</v>
      </c>
      <c r="L216" s="11" t="s">
        <v>79</v>
      </c>
      <c r="M216" s="6" t="s">
        <v>795</v>
      </c>
      <c r="N216" s="6" t="s">
        <v>1186</v>
      </c>
      <c r="O216" s="11" t="str">
        <f t="shared" si="19"/>
        <v>TLC</v>
      </c>
    </row>
    <row r="217" spans="1:15">
      <c r="A217" s="6" t="s">
        <v>1187</v>
      </c>
      <c r="B217" s="6" t="s">
        <v>792</v>
      </c>
      <c r="C217" s="6" t="s">
        <v>50</v>
      </c>
      <c r="D217" s="11" t="s">
        <v>793</v>
      </c>
      <c r="E217" s="11">
        <v>1</v>
      </c>
      <c r="F217" s="11" t="s">
        <v>794</v>
      </c>
      <c r="G217" s="11">
        <v>-1</v>
      </c>
      <c r="H217" s="11" t="s">
        <v>794</v>
      </c>
      <c r="I217" s="11" t="s">
        <v>1174</v>
      </c>
      <c r="J217" s="11" t="s">
        <v>1174</v>
      </c>
      <c r="K217" s="11" t="s">
        <v>1175</v>
      </c>
      <c r="L217" s="11" t="s">
        <v>79</v>
      </c>
      <c r="M217" s="6" t="s">
        <v>795</v>
      </c>
      <c r="N217" s="6" t="s">
        <v>1188</v>
      </c>
      <c r="O217" s="11" t="str">
        <f t="shared" si="19"/>
        <v>TLC</v>
      </c>
    </row>
    <row r="218" spans="1:15">
      <c r="A218" s="6" t="s">
        <v>1189</v>
      </c>
      <c r="B218" s="6" t="s">
        <v>792</v>
      </c>
      <c r="C218" s="6" t="s">
        <v>50</v>
      </c>
      <c r="D218" s="11" t="s">
        <v>793</v>
      </c>
      <c r="E218" s="11">
        <v>1</v>
      </c>
      <c r="F218" s="11" t="s">
        <v>794</v>
      </c>
      <c r="G218" s="11">
        <v>-1</v>
      </c>
      <c r="H218" s="11" t="s">
        <v>794</v>
      </c>
      <c r="I218" s="11" t="s">
        <v>1174</v>
      </c>
      <c r="J218" s="11" t="s">
        <v>1174</v>
      </c>
      <c r="K218" s="11" t="s">
        <v>1175</v>
      </c>
      <c r="L218" s="11" t="s">
        <v>79</v>
      </c>
      <c r="M218" s="6" t="s">
        <v>795</v>
      </c>
      <c r="N218" s="6" t="s">
        <v>1190</v>
      </c>
      <c r="O218" s="11" t="str">
        <f t="shared" si="19"/>
        <v>TLC</v>
      </c>
    </row>
    <row r="219" spans="1:15">
      <c r="A219" s="6" t="s">
        <v>1191</v>
      </c>
      <c r="B219" s="6" t="s">
        <v>792</v>
      </c>
      <c r="C219" s="6" t="s">
        <v>50</v>
      </c>
      <c r="D219" s="11" t="s">
        <v>793</v>
      </c>
      <c r="E219" s="11">
        <v>1</v>
      </c>
      <c r="F219" s="11" t="s">
        <v>794</v>
      </c>
      <c r="G219" s="11">
        <v>-1</v>
      </c>
      <c r="H219" s="11" t="s">
        <v>794</v>
      </c>
      <c r="I219" s="11" t="s">
        <v>1174</v>
      </c>
      <c r="J219" s="11" t="s">
        <v>1174</v>
      </c>
      <c r="K219" s="11" t="s">
        <v>1175</v>
      </c>
      <c r="L219" s="11" t="s">
        <v>79</v>
      </c>
      <c r="M219" s="6" t="s">
        <v>795</v>
      </c>
      <c r="N219" s="6" t="s">
        <v>1192</v>
      </c>
      <c r="O219" s="11" t="str">
        <f t="shared" si="19"/>
        <v>TLC</v>
      </c>
    </row>
    <row r="220" spans="1:15">
      <c r="A220" s="6" t="s">
        <v>1193</v>
      </c>
      <c r="B220" s="6" t="s">
        <v>792</v>
      </c>
      <c r="C220" s="6" t="s">
        <v>50</v>
      </c>
      <c r="D220" s="11" t="s">
        <v>793</v>
      </c>
      <c r="E220" s="11">
        <v>1</v>
      </c>
      <c r="F220" s="11" t="s">
        <v>794</v>
      </c>
      <c r="G220" s="11">
        <v>-1</v>
      </c>
      <c r="H220" s="11" t="s">
        <v>794</v>
      </c>
      <c r="I220" s="11" t="s">
        <v>1174</v>
      </c>
      <c r="J220" s="11" t="s">
        <v>1174</v>
      </c>
      <c r="K220" s="11" t="s">
        <v>1175</v>
      </c>
      <c r="L220" s="11" t="s">
        <v>79</v>
      </c>
      <c r="M220" s="6" t="s">
        <v>795</v>
      </c>
      <c r="N220" s="6" t="s">
        <v>1194</v>
      </c>
      <c r="O220" s="11" t="str">
        <f t="shared" ref="O220:O225" si="20">MID(A220,1,3)</f>
        <v>TLC</v>
      </c>
    </row>
    <row r="221" spans="1:15">
      <c r="A221" s="6" t="s">
        <v>1195</v>
      </c>
      <c r="B221" s="6" t="s">
        <v>792</v>
      </c>
      <c r="C221" s="6" t="s">
        <v>50</v>
      </c>
      <c r="D221" s="11" t="s">
        <v>793</v>
      </c>
      <c r="E221" s="11">
        <v>1</v>
      </c>
      <c r="F221" s="11" t="s">
        <v>794</v>
      </c>
      <c r="G221" s="11">
        <v>-1</v>
      </c>
      <c r="H221" s="11" t="s">
        <v>794</v>
      </c>
      <c r="I221" s="11" t="s">
        <v>1174</v>
      </c>
      <c r="J221" s="11" t="s">
        <v>1174</v>
      </c>
      <c r="K221" s="11" t="s">
        <v>1175</v>
      </c>
      <c r="L221" s="11" t="s">
        <v>79</v>
      </c>
      <c r="M221" s="6" t="s">
        <v>795</v>
      </c>
      <c r="N221" s="6" t="s">
        <v>1196</v>
      </c>
      <c r="O221" s="11" t="str">
        <f t="shared" si="20"/>
        <v>TLC</v>
      </c>
    </row>
    <row r="222" spans="1:15">
      <c r="A222" s="6" t="s">
        <v>1197</v>
      </c>
      <c r="B222" s="6" t="s">
        <v>792</v>
      </c>
      <c r="C222" s="6" t="s">
        <v>50</v>
      </c>
      <c r="D222" s="11" t="s">
        <v>793</v>
      </c>
      <c r="E222" s="11">
        <v>1</v>
      </c>
      <c r="F222" s="11" t="s">
        <v>794</v>
      </c>
      <c r="G222" s="11">
        <v>-1</v>
      </c>
      <c r="H222" s="11" t="s">
        <v>794</v>
      </c>
      <c r="I222" s="11" t="s">
        <v>1174</v>
      </c>
      <c r="J222" s="11" t="s">
        <v>1174</v>
      </c>
      <c r="K222" s="11" t="s">
        <v>1175</v>
      </c>
      <c r="L222" s="11" t="s">
        <v>79</v>
      </c>
      <c r="M222" s="6" t="s">
        <v>795</v>
      </c>
      <c r="N222" s="6" t="s">
        <v>1198</v>
      </c>
      <c r="O222" s="11" t="str">
        <f t="shared" si="20"/>
        <v>TLC</v>
      </c>
    </row>
    <row r="223" spans="1:15">
      <c r="A223" s="6" t="s">
        <v>1199</v>
      </c>
      <c r="B223" s="6" t="s">
        <v>792</v>
      </c>
      <c r="C223" s="6" t="s">
        <v>45</v>
      </c>
      <c r="D223" s="11" t="s">
        <v>793</v>
      </c>
      <c r="E223" s="11">
        <v>1</v>
      </c>
      <c r="F223" s="11" t="s">
        <v>794</v>
      </c>
      <c r="G223" s="11">
        <v>-1</v>
      </c>
      <c r="H223" s="11" t="s">
        <v>794</v>
      </c>
      <c r="I223" s="11">
        <v>-512</v>
      </c>
      <c r="J223" s="11">
        <v>512</v>
      </c>
      <c r="K223" s="11">
        <v>0</v>
      </c>
      <c r="L223" s="11" t="s">
        <v>94</v>
      </c>
      <c r="M223" s="6" t="s">
        <v>795</v>
      </c>
      <c r="N223" s="6" t="s">
        <v>1146</v>
      </c>
      <c r="O223" s="11" t="str">
        <f t="shared" si="20"/>
        <v>TLC</v>
      </c>
    </row>
    <row r="224" spans="1:15">
      <c r="A224" s="6" t="s">
        <v>1200</v>
      </c>
      <c r="B224" s="6" t="s">
        <v>792</v>
      </c>
      <c r="C224" s="6" t="s">
        <v>45</v>
      </c>
      <c r="D224" s="11" t="s">
        <v>793</v>
      </c>
      <c r="E224" s="11">
        <v>1</v>
      </c>
      <c r="F224" s="11" t="s">
        <v>794</v>
      </c>
      <c r="G224" s="11">
        <v>-1</v>
      </c>
      <c r="H224" s="11" t="s">
        <v>794</v>
      </c>
      <c r="I224" s="11">
        <v>-512</v>
      </c>
      <c r="J224" s="11">
        <v>512</v>
      </c>
      <c r="K224" s="11">
        <v>0</v>
      </c>
      <c r="L224" s="11" t="s">
        <v>94</v>
      </c>
      <c r="M224" s="6" t="s">
        <v>795</v>
      </c>
      <c r="N224" s="6" t="s">
        <v>1148</v>
      </c>
      <c r="O224" s="11" t="str">
        <f t="shared" si="20"/>
        <v>TLC</v>
      </c>
    </row>
    <row r="225" spans="1:15">
      <c r="A225" s="6" t="s">
        <v>1201</v>
      </c>
      <c r="B225" s="6" t="s">
        <v>792</v>
      </c>
      <c r="C225" s="6" t="s">
        <v>45</v>
      </c>
      <c r="D225" s="11" t="s">
        <v>793</v>
      </c>
      <c r="E225" s="11">
        <v>1</v>
      </c>
      <c r="F225" s="11" t="s">
        <v>794</v>
      </c>
      <c r="G225" s="11">
        <v>-1</v>
      </c>
      <c r="H225" s="11" t="s">
        <v>794</v>
      </c>
      <c r="I225" s="11">
        <v>-512</v>
      </c>
      <c r="J225" s="11">
        <v>512</v>
      </c>
      <c r="K225" s="11">
        <v>0</v>
      </c>
      <c r="L225" s="11" t="s">
        <v>94</v>
      </c>
      <c r="M225" s="6" t="s">
        <v>795</v>
      </c>
      <c r="N225" s="6" t="s">
        <v>1202</v>
      </c>
      <c r="O225" s="11" t="str">
        <f t="shared" si="20"/>
        <v>ISP</v>
      </c>
    </row>
    <row r="226" spans="1:15">
      <c r="A226" s="6" t="s">
        <v>1203</v>
      </c>
      <c r="B226" s="6" t="s">
        <v>792</v>
      </c>
      <c r="C226" s="6" t="s">
        <v>45</v>
      </c>
      <c r="D226" s="11" t="s">
        <v>793</v>
      </c>
      <c r="E226" s="11">
        <v>1</v>
      </c>
      <c r="F226" s="11" t="s">
        <v>794</v>
      </c>
      <c r="G226" s="11">
        <v>-1</v>
      </c>
      <c r="H226" s="11" t="s">
        <v>794</v>
      </c>
      <c r="I226" s="11">
        <v>-512</v>
      </c>
      <c r="J226" s="11">
        <v>512</v>
      </c>
      <c r="K226" s="11">
        <v>0</v>
      </c>
      <c r="L226" s="11" t="s">
        <v>94</v>
      </c>
      <c r="M226" s="6" t="s">
        <v>795</v>
      </c>
      <c r="N226" s="6" t="s">
        <v>1204</v>
      </c>
      <c r="O226" s="11" t="str">
        <f t="shared" ref="O226:O239" si="21">MID(A226,1,3)</f>
        <v>ISP</v>
      </c>
    </row>
    <row r="227" spans="1:15">
      <c r="A227" s="6" t="s">
        <v>1205</v>
      </c>
      <c r="B227" s="6" t="s">
        <v>792</v>
      </c>
      <c r="C227" s="6" t="s">
        <v>45</v>
      </c>
      <c r="D227" s="11" t="s">
        <v>793</v>
      </c>
      <c r="E227" s="11">
        <v>1</v>
      </c>
      <c r="F227" s="11" t="s">
        <v>794</v>
      </c>
      <c r="G227" s="11">
        <v>-1</v>
      </c>
      <c r="H227" s="11" t="s">
        <v>794</v>
      </c>
      <c r="I227" s="11">
        <v>-20000</v>
      </c>
      <c r="J227" s="11">
        <v>20000</v>
      </c>
      <c r="K227" s="11">
        <v>0</v>
      </c>
      <c r="L227" s="11" t="s">
        <v>235</v>
      </c>
      <c r="M227" s="6" t="s">
        <v>795</v>
      </c>
      <c r="N227" s="6" t="s">
        <v>1206</v>
      </c>
      <c r="O227" s="11" t="str">
        <f t="shared" si="21"/>
        <v>ISP</v>
      </c>
    </row>
    <row r="228" spans="1:15">
      <c r="A228" s="6" t="s">
        <v>1207</v>
      </c>
      <c r="B228" s="6" t="s">
        <v>792</v>
      </c>
      <c r="C228" s="6" t="s">
        <v>45</v>
      </c>
      <c r="D228" s="11" t="s">
        <v>793</v>
      </c>
      <c r="E228" s="11">
        <v>1</v>
      </c>
      <c r="F228" s="11" t="s">
        <v>794</v>
      </c>
      <c r="G228" s="11">
        <v>-1</v>
      </c>
      <c r="H228" s="11" t="s">
        <v>794</v>
      </c>
      <c r="I228" s="11">
        <v>0</v>
      </c>
      <c r="J228" s="11">
        <v>500</v>
      </c>
      <c r="K228" s="11">
        <v>0</v>
      </c>
      <c r="L228" s="11" t="s">
        <v>108</v>
      </c>
      <c r="M228" s="6" t="s">
        <v>795</v>
      </c>
      <c r="N228" s="6" t="s">
        <v>1208</v>
      </c>
      <c r="O228" s="11" t="str">
        <f t="shared" si="21"/>
        <v>ISP</v>
      </c>
    </row>
    <row r="229" spans="1:15">
      <c r="A229" s="6" t="s">
        <v>1209</v>
      </c>
      <c r="B229" s="6" t="s">
        <v>792</v>
      </c>
      <c r="C229" s="6" t="s">
        <v>45</v>
      </c>
      <c r="D229" s="11" t="s">
        <v>793</v>
      </c>
      <c r="E229" s="11">
        <v>1</v>
      </c>
      <c r="F229" s="11" t="s">
        <v>794</v>
      </c>
      <c r="G229" s="11">
        <v>-1</v>
      </c>
      <c r="H229" s="11" t="s">
        <v>794</v>
      </c>
      <c r="I229" s="11">
        <v>0</v>
      </c>
      <c r="J229" s="11">
        <v>1800</v>
      </c>
      <c r="K229" s="11">
        <v>0</v>
      </c>
      <c r="L229" s="11" t="s">
        <v>217</v>
      </c>
      <c r="M229" s="6" t="s">
        <v>795</v>
      </c>
      <c r="N229" s="6" t="s">
        <v>1210</v>
      </c>
      <c r="O229" s="11" t="str">
        <f t="shared" si="21"/>
        <v>ISP</v>
      </c>
    </row>
    <row r="230" spans="1:15">
      <c r="A230" s="6" t="s">
        <v>1211</v>
      </c>
      <c r="B230" s="6" t="s">
        <v>792</v>
      </c>
      <c r="C230" s="6" t="s">
        <v>45</v>
      </c>
      <c r="D230" s="11" t="s">
        <v>793</v>
      </c>
      <c r="E230" s="11">
        <v>1</v>
      </c>
      <c r="F230" s="11" t="s">
        <v>794</v>
      </c>
      <c r="G230" s="11">
        <v>-1</v>
      </c>
      <c r="H230" s="11" t="s">
        <v>794</v>
      </c>
      <c r="I230" s="11">
        <v>-1000</v>
      </c>
      <c r="J230" s="11">
        <v>1000</v>
      </c>
      <c r="K230" s="11">
        <v>0</v>
      </c>
      <c r="L230" s="11" t="s">
        <v>172</v>
      </c>
      <c r="M230" s="6" t="s">
        <v>795</v>
      </c>
      <c r="N230" s="6" t="s">
        <v>1212</v>
      </c>
      <c r="O230" s="11" t="str">
        <f t="shared" si="21"/>
        <v>ISP</v>
      </c>
    </row>
    <row r="231" spans="1:15">
      <c r="A231" s="6" t="s">
        <v>1213</v>
      </c>
      <c r="B231" s="6" t="s">
        <v>792</v>
      </c>
      <c r="C231" s="6" t="s">
        <v>45</v>
      </c>
      <c r="D231" s="11" t="s">
        <v>793</v>
      </c>
      <c r="E231" s="11">
        <v>1</v>
      </c>
      <c r="F231" s="11" t="s">
        <v>794</v>
      </c>
      <c r="G231" s="11">
        <v>-1</v>
      </c>
      <c r="H231" s="11" t="s">
        <v>794</v>
      </c>
      <c r="I231" s="11">
        <v>-1000</v>
      </c>
      <c r="J231" s="11">
        <v>1000</v>
      </c>
      <c r="K231" s="11">
        <v>0</v>
      </c>
      <c r="L231" s="11" t="s">
        <v>79</v>
      </c>
      <c r="M231" s="6" t="s">
        <v>795</v>
      </c>
      <c r="N231" s="6" t="s">
        <v>1214</v>
      </c>
      <c r="O231" s="11" t="str">
        <f t="shared" si="21"/>
        <v>ISP</v>
      </c>
    </row>
    <row r="232" spans="1:15">
      <c r="A232" s="6" t="s">
        <v>1215</v>
      </c>
      <c r="B232" s="6" t="s">
        <v>792</v>
      </c>
      <c r="C232" s="6" t="s">
        <v>45</v>
      </c>
      <c r="D232" s="11" t="s">
        <v>793</v>
      </c>
      <c r="E232" s="11">
        <v>1</v>
      </c>
      <c r="F232" s="11" t="s">
        <v>794</v>
      </c>
      <c r="G232" s="11">
        <v>-1</v>
      </c>
      <c r="H232" s="11" t="s">
        <v>794</v>
      </c>
      <c r="I232" s="11">
        <v>-1000</v>
      </c>
      <c r="J232" s="11">
        <v>1000</v>
      </c>
      <c r="K232" s="11">
        <v>0</v>
      </c>
      <c r="L232" s="11" t="s">
        <v>94</v>
      </c>
      <c r="M232" s="6" t="s">
        <v>795</v>
      </c>
      <c r="N232" s="6" t="s">
        <v>1216</v>
      </c>
      <c r="O232" s="11" t="str">
        <f t="shared" si="21"/>
        <v>TCC</v>
      </c>
    </row>
    <row r="233" spans="1:15">
      <c r="A233" s="6" t="s">
        <v>1217</v>
      </c>
      <c r="B233" s="6" t="s">
        <v>792</v>
      </c>
      <c r="C233" s="6" t="s">
        <v>45</v>
      </c>
      <c r="D233" s="11" t="s">
        <v>793</v>
      </c>
      <c r="E233" s="11">
        <v>1</v>
      </c>
      <c r="F233" s="11" t="s">
        <v>794</v>
      </c>
      <c r="G233" s="11">
        <v>-1</v>
      </c>
      <c r="H233" s="11" t="s">
        <v>794</v>
      </c>
      <c r="I233" s="11">
        <v>-1000</v>
      </c>
      <c r="J233" s="11">
        <v>1000</v>
      </c>
      <c r="K233" s="11">
        <v>0</v>
      </c>
      <c r="L233" s="11" t="s">
        <v>94</v>
      </c>
      <c r="M233" s="6" t="s">
        <v>795</v>
      </c>
      <c r="N233" s="6" t="s">
        <v>1218</v>
      </c>
      <c r="O233" s="11" t="str">
        <f t="shared" si="21"/>
        <v>TCC</v>
      </c>
    </row>
    <row r="234" spans="1:15">
      <c r="A234" s="6" t="s">
        <v>1219</v>
      </c>
      <c r="B234" s="6" t="s">
        <v>792</v>
      </c>
      <c r="C234" s="6" t="s">
        <v>45</v>
      </c>
      <c r="D234" s="11" t="s">
        <v>793</v>
      </c>
      <c r="E234" s="11">
        <v>1</v>
      </c>
      <c r="F234" s="11" t="s">
        <v>794</v>
      </c>
      <c r="G234" s="11">
        <v>-1</v>
      </c>
      <c r="H234" s="11" t="s">
        <v>794</v>
      </c>
      <c r="I234" s="11">
        <v>-1000</v>
      </c>
      <c r="J234" s="11">
        <v>1000</v>
      </c>
      <c r="K234" s="11">
        <v>0</v>
      </c>
      <c r="L234" s="11" t="s">
        <v>94</v>
      </c>
      <c r="M234" s="6" t="s">
        <v>795</v>
      </c>
      <c r="N234" s="6" t="s">
        <v>1220</v>
      </c>
      <c r="O234" s="11" t="str">
        <f t="shared" ref="O234:O236" si="22">MID(A234,1,3)</f>
        <v>TCC</v>
      </c>
    </row>
    <row r="235" spans="1:15">
      <c r="A235" s="6" t="s">
        <v>1221</v>
      </c>
      <c r="B235" s="6" t="s">
        <v>792</v>
      </c>
      <c r="C235" s="6" t="s">
        <v>46</v>
      </c>
      <c r="D235" s="11" t="s">
        <v>793</v>
      </c>
      <c r="E235" s="11">
        <v>1</v>
      </c>
      <c r="F235" s="11" t="s">
        <v>794</v>
      </c>
      <c r="G235" s="11">
        <v>-1</v>
      </c>
      <c r="H235" s="11" t="s">
        <v>794</v>
      </c>
      <c r="I235" s="11">
        <v>0</v>
      </c>
      <c r="J235" s="11">
        <v>1</v>
      </c>
      <c r="K235" s="11">
        <v>0</v>
      </c>
      <c r="L235" s="11" t="s">
        <v>79</v>
      </c>
      <c r="M235" s="6" t="s">
        <v>795</v>
      </c>
      <c r="N235" s="6" t="s">
        <v>1222</v>
      </c>
      <c r="O235" s="11" t="str">
        <f t="shared" si="22"/>
        <v>TCC</v>
      </c>
    </row>
    <row r="236" spans="1:15">
      <c r="A236" s="6" t="s">
        <v>1223</v>
      </c>
      <c r="B236" s="6" t="s">
        <v>792</v>
      </c>
      <c r="C236" s="6" t="s">
        <v>38</v>
      </c>
      <c r="D236" s="11" t="s">
        <v>793</v>
      </c>
      <c r="E236" s="11">
        <v>1</v>
      </c>
      <c r="F236" s="11" t="s">
        <v>794</v>
      </c>
      <c r="G236" s="11">
        <v>-1</v>
      </c>
      <c r="H236" s="11" t="s">
        <v>794</v>
      </c>
      <c r="I236" s="11">
        <v>0</v>
      </c>
      <c r="J236" s="11">
        <v>10</v>
      </c>
      <c r="K236" s="11">
        <v>0</v>
      </c>
      <c r="L236" s="11" t="s">
        <v>79</v>
      </c>
      <c r="M236" s="6" t="s">
        <v>795</v>
      </c>
      <c r="N236" s="6" t="s">
        <v>1224</v>
      </c>
      <c r="O236" s="11" t="str">
        <f t="shared" si="22"/>
        <v>TCC</v>
      </c>
    </row>
    <row r="237" spans="1:15">
      <c r="A237" s="6" t="s">
        <v>1225</v>
      </c>
      <c r="B237" s="6" t="s">
        <v>792</v>
      </c>
      <c r="C237" s="6" t="s">
        <v>46</v>
      </c>
      <c r="D237" s="11" t="s">
        <v>793</v>
      </c>
      <c r="E237" s="11">
        <v>1</v>
      </c>
      <c r="F237" s="11" t="s">
        <v>794</v>
      </c>
      <c r="G237" s="11">
        <v>-1</v>
      </c>
      <c r="H237" s="11" t="s">
        <v>794</v>
      </c>
      <c r="I237" s="11">
        <v>0</v>
      </c>
      <c r="J237" s="11">
        <v>1</v>
      </c>
      <c r="K237" s="11">
        <v>0</v>
      </c>
      <c r="L237" s="11" t="s">
        <v>79</v>
      </c>
      <c r="M237" s="6" t="s">
        <v>795</v>
      </c>
      <c r="N237" s="6" t="s">
        <v>1226</v>
      </c>
      <c r="O237" s="11" t="str">
        <f t="shared" si="21"/>
        <v>ISP</v>
      </c>
    </row>
    <row r="238" spans="1:15">
      <c r="A238" s="6" t="s">
        <v>1227</v>
      </c>
      <c r="B238" s="6" t="s">
        <v>792</v>
      </c>
      <c r="C238" s="6" t="s">
        <v>46</v>
      </c>
      <c r="D238" s="11" t="s">
        <v>793</v>
      </c>
      <c r="E238" s="11">
        <v>1</v>
      </c>
      <c r="F238" s="11" t="s">
        <v>794</v>
      </c>
      <c r="G238" s="11">
        <v>-1</v>
      </c>
      <c r="H238" s="11" t="s">
        <v>794</v>
      </c>
      <c r="I238" s="11">
        <v>0</v>
      </c>
      <c r="J238" s="11">
        <v>1</v>
      </c>
      <c r="K238" s="11">
        <v>0</v>
      </c>
      <c r="L238" s="11" t="s">
        <v>79</v>
      </c>
      <c r="M238" s="6" t="s">
        <v>795</v>
      </c>
      <c r="N238" s="6" t="s">
        <v>1228</v>
      </c>
      <c r="O238" s="11" t="str">
        <f t="shared" si="21"/>
        <v>ISP</v>
      </c>
    </row>
    <row r="239" spans="1:15">
      <c r="A239" s="6" t="s">
        <v>1229</v>
      </c>
      <c r="B239" s="6" t="s">
        <v>792</v>
      </c>
      <c r="C239" s="6" t="s">
        <v>46</v>
      </c>
      <c r="D239" s="11" t="s">
        <v>793</v>
      </c>
      <c r="E239" s="11">
        <v>1</v>
      </c>
      <c r="F239" s="11" t="s">
        <v>794</v>
      </c>
      <c r="G239" s="11">
        <v>-1</v>
      </c>
      <c r="H239" s="11" t="s">
        <v>794</v>
      </c>
      <c r="I239" s="11">
        <v>0</v>
      </c>
      <c r="J239" s="11">
        <v>1</v>
      </c>
      <c r="K239" s="11">
        <v>0</v>
      </c>
      <c r="L239" s="11" t="s">
        <v>79</v>
      </c>
      <c r="M239" s="6" t="s">
        <v>795</v>
      </c>
      <c r="N239" s="6" t="s">
        <v>1230</v>
      </c>
      <c r="O239" s="11" t="str">
        <f t="shared" si="21"/>
        <v>ISP</v>
      </c>
    </row>
    <row r="240" spans="1:15">
      <c r="A240" s="6" t="s">
        <v>1231</v>
      </c>
      <c r="B240" s="6" t="s">
        <v>792</v>
      </c>
      <c r="C240" s="6" t="s">
        <v>45</v>
      </c>
      <c r="D240" s="11" t="s">
        <v>793</v>
      </c>
      <c r="E240" s="11">
        <v>1</v>
      </c>
      <c r="F240" s="11" t="s">
        <v>794</v>
      </c>
      <c r="G240" s="11">
        <v>-1</v>
      </c>
      <c r="H240" s="11" t="s">
        <v>794</v>
      </c>
      <c r="I240" s="11">
        <v>-100</v>
      </c>
      <c r="J240" s="11">
        <v>300</v>
      </c>
      <c r="K240" s="11">
        <v>20</v>
      </c>
      <c r="L240" s="11" t="s">
        <v>354</v>
      </c>
      <c r="M240" s="6" t="s">
        <v>795</v>
      </c>
      <c r="N240" s="6" t="s">
        <v>1232</v>
      </c>
      <c r="O240" s="11" t="str">
        <f t="shared" ref="O240:O252" si="23">MID(A240,1,3)</f>
        <v>ISP</v>
      </c>
    </row>
    <row r="241" spans="1:15">
      <c r="A241" s="6" t="s">
        <v>1233</v>
      </c>
      <c r="B241" s="6" t="s">
        <v>792</v>
      </c>
      <c r="C241" s="6" t="s">
        <v>45</v>
      </c>
      <c r="D241" s="11" t="s">
        <v>793</v>
      </c>
      <c r="E241" s="11">
        <v>1</v>
      </c>
      <c r="F241" s="11" t="s">
        <v>794</v>
      </c>
      <c r="G241" s="11">
        <v>-1</v>
      </c>
      <c r="H241" s="11" t="s">
        <v>794</v>
      </c>
      <c r="I241" s="11">
        <v>-100</v>
      </c>
      <c r="J241" s="11">
        <v>300</v>
      </c>
      <c r="K241" s="11">
        <v>20</v>
      </c>
      <c r="L241" s="11" t="s">
        <v>354</v>
      </c>
      <c r="M241" s="6" t="s">
        <v>795</v>
      </c>
      <c r="N241" s="6" t="s">
        <v>1234</v>
      </c>
      <c r="O241" s="11" t="str">
        <f t="shared" si="23"/>
        <v>ISP</v>
      </c>
    </row>
    <row r="242" spans="1:15">
      <c r="A242" s="6" t="s">
        <v>1235</v>
      </c>
      <c r="B242" s="6" t="s">
        <v>792</v>
      </c>
      <c r="C242" s="6" t="s">
        <v>45</v>
      </c>
      <c r="D242" s="11" t="s">
        <v>793</v>
      </c>
      <c r="E242" s="11">
        <v>1</v>
      </c>
      <c r="F242" s="11" t="s">
        <v>794</v>
      </c>
      <c r="G242" s="11">
        <v>-1</v>
      </c>
      <c r="H242" s="11" t="s">
        <v>794</v>
      </c>
      <c r="I242" s="11">
        <v>-100</v>
      </c>
      <c r="J242" s="11">
        <v>300</v>
      </c>
      <c r="K242" s="11">
        <v>20</v>
      </c>
      <c r="L242" s="11" t="s">
        <v>354</v>
      </c>
      <c r="M242" s="6" t="s">
        <v>795</v>
      </c>
      <c r="N242" s="6" t="s">
        <v>1236</v>
      </c>
      <c r="O242" s="11" t="str">
        <f t="shared" si="23"/>
        <v>ISP</v>
      </c>
    </row>
    <row r="243" spans="1:15">
      <c r="A243" s="6" t="s">
        <v>1237</v>
      </c>
      <c r="B243" s="6" t="s">
        <v>792</v>
      </c>
      <c r="C243" s="6" t="s">
        <v>45</v>
      </c>
      <c r="D243" s="11" t="s">
        <v>793</v>
      </c>
      <c r="E243" s="11">
        <v>1</v>
      </c>
      <c r="F243" s="11" t="s">
        <v>794</v>
      </c>
      <c r="G243" s="11">
        <v>-1</v>
      </c>
      <c r="H243" s="11" t="s">
        <v>794</v>
      </c>
      <c r="I243" s="11">
        <v>-100</v>
      </c>
      <c r="J243" s="11">
        <v>300</v>
      </c>
      <c r="K243" s="11">
        <v>20</v>
      </c>
      <c r="L243" s="11" t="s">
        <v>354</v>
      </c>
      <c r="M243" s="6" t="s">
        <v>795</v>
      </c>
      <c r="N243" s="6" t="s">
        <v>1238</v>
      </c>
      <c r="O243" s="11" t="str">
        <f t="shared" si="23"/>
        <v>ISP</v>
      </c>
    </row>
    <row r="244" spans="1:15">
      <c r="A244" s="6" t="s">
        <v>1239</v>
      </c>
      <c r="B244" s="6" t="s">
        <v>792</v>
      </c>
      <c r="C244" s="6" t="s">
        <v>45</v>
      </c>
      <c r="D244" s="11" t="s">
        <v>793</v>
      </c>
      <c r="E244" s="11">
        <v>1</v>
      </c>
      <c r="F244" s="11" t="s">
        <v>794</v>
      </c>
      <c r="G244" s="11">
        <v>-1</v>
      </c>
      <c r="H244" s="11" t="s">
        <v>794</v>
      </c>
      <c r="I244" s="11">
        <v>-100</v>
      </c>
      <c r="J244" s="11">
        <v>300</v>
      </c>
      <c r="K244" s="11">
        <v>20</v>
      </c>
      <c r="L244" s="11" t="s">
        <v>354</v>
      </c>
      <c r="M244" s="6" t="s">
        <v>795</v>
      </c>
      <c r="N244" s="6" t="s">
        <v>1240</v>
      </c>
      <c r="O244" s="11" t="str">
        <f t="shared" si="23"/>
        <v>ISP</v>
      </c>
    </row>
    <row r="245" spans="1:15">
      <c r="A245" s="6" t="s">
        <v>1241</v>
      </c>
      <c r="B245" s="6" t="s">
        <v>792</v>
      </c>
      <c r="C245" s="6" t="s">
        <v>46</v>
      </c>
      <c r="D245" s="11" t="s">
        <v>793</v>
      </c>
      <c r="E245" s="11">
        <v>1</v>
      </c>
      <c r="F245" s="11" t="s">
        <v>794</v>
      </c>
      <c r="G245" s="11">
        <v>-1</v>
      </c>
      <c r="H245" s="11" t="s">
        <v>794</v>
      </c>
      <c r="I245" s="11">
        <v>0</v>
      </c>
      <c r="J245" s="11">
        <v>1</v>
      </c>
      <c r="K245" s="11">
        <v>0</v>
      </c>
      <c r="L245" s="11" t="s">
        <v>694</v>
      </c>
      <c r="M245" s="6" t="s">
        <v>795</v>
      </c>
      <c r="N245" s="6" t="s">
        <v>1242</v>
      </c>
      <c r="O245" s="11" t="str">
        <f t="shared" si="23"/>
        <v>ISP</v>
      </c>
    </row>
    <row r="246" spans="1:15">
      <c r="A246" s="6" t="s">
        <v>1243</v>
      </c>
      <c r="B246" s="6" t="s">
        <v>792</v>
      </c>
      <c r="C246" s="6" t="s">
        <v>45</v>
      </c>
      <c r="D246" s="11" t="s">
        <v>793</v>
      </c>
      <c r="E246" s="11">
        <v>1</v>
      </c>
      <c r="F246" s="11" t="s">
        <v>794</v>
      </c>
      <c r="G246" s="11">
        <v>-1</v>
      </c>
      <c r="H246" s="11" t="s">
        <v>794</v>
      </c>
      <c r="I246" s="11">
        <v>-1000</v>
      </c>
      <c r="J246" s="11">
        <v>1000</v>
      </c>
      <c r="K246" s="11">
        <v>0</v>
      </c>
      <c r="L246" s="11" t="s">
        <v>94</v>
      </c>
      <c r="M246" s="6" t="s">
        <v>795</v>
      </c>
      <c r="N246" s="6" t="s">
        <v>1244</v>
      </c>
      <c r="O246" s="11" t="str">
        <f t="shared" si="23"/>
        <v>ISP</v>
      </c>
    </row>
    <row r="247" spans="1:15">
      <c r="A247" s="6" t="s">
        <v>1245</v>
      </c>
      <c r="B247" s="6" t="s">
        <v>792</v>
      </c>
      <c r="C247" s="6" t="s">
        <v>45</v>
      </c>
      <c r="D247" s="11" t="s">
        <v>793</v>
      </c>
      <c r="E247" s="11">
        <v>1</v>
      </c>
      <c r="F247" s="11" t="s">
        <v>794</v>
      </c>
      <c r="G247" s="11">
        <v>-1</v>
      </c>
      <c r="H247" s="11" t="s">
        <v>794</v>
      </c>
      <c r="I247" s="11">
        <v>-1000</v>
      </c>
      <c r="J247" s="11">
        <v>1000</v>
      </c>
      <c r="K247" s="11">
        <v>0</v>
      </c>
      <c r="L247" s="11" t="s">
        <v>94</v>
      </c>
      <c r="M247" s="6" t="s">
        <v>795</v>
      </c>
      <c r="N247" s="6" t="s">
        <v>1246</v>
      </c>
      <c r="O247" s="11" t="str">
        <f t="shared" si="23"/>
        <v>ISP</v>
      </c>
    </row>
    <row r="248" spans="1:15">
      <c r="A248" s="6" t="s">
        <v>1247</v>
      </c>
      <c r="B248" s="6" t="s">
        <v>792</v>
      </c>
      <c r="C248" s="6" t="s">
        <v>45</v>
      </c>
      <c r="D248" s="11" t="s">
        <v>793</v>
      </c>
      <c r="E248" s="11">
        <v>1</v>
      </c>
      <c r="F248" s="11" t="s">
        <v>794</v>
      </c>
      <c r="G248" s="11">
        <v>-1</v>
      </c>
      <c r="H248" s="11" t="s">
        <v>794</v>
      </c>
      <c r="I248" s="11">
        <v>-1000</v>
      </c>
      <c r="J248" s="11">
        <v>1000</v>
      </c>
      <c r="K248" s="11">
        <v>0</v>
      </c>
      <c r="L248" s="11" t="s">
        <v>94</v>
      </c>
      <c r="M248" s="6" t="s">
        <v>795</v>
      </c>
      <c r="N248" s="6" t="s">
        <v>1248</v>
      </c>
      <c r="O248" s="11" t="str">
        <f t="shared" si="23"/>
        <v>ISP</v>
      </c>
    </row>
    <row r="249" spans="1:15">
      <c r="A249" s="6" t="s">
        <v>1249</v>
      </c>
      <c r="B249" s="6" t="s">
        <v>792</v>
      </c>
      <c r="C249" s="6" t="s">
        <v>45</v>
      </c>
      <c r="D249" s="11" t="s">
        <v>793</v>
      </c>
      <c r="E249" s="11">
        <v>1</v>
      </c>
      <c r="F249" s="11" t="s">
        <v>794</v>
      </c>
      <c r="G249" s="11">
        <v>-1</v>
      </c>
      <c r="H249" s="11" t="s">
        <v>794</v>
      </c>
      <c r="I249" s="11">
        <v>-1000</v>
      </c>
      <c r="J249" s="11">
        <v>1000</v>
      </c>
      <c r="K249" s="11">
        <v>0</v>
      </c>
      <c r="L249" s="11" t="s">
        <v>94</v>
      </c>
      <c r="M249" s="6" t="s">
        <v>795</v>
      </c>
      <c r="N249" s="6" t="s">
        <v>1250</v>
      </c>
      <c r="O249" s="11" t="str">
        <f t="shared" si="23"/>
        <v>ISP</v>
      </c>
    </row>
    <row r="250" spans="1:15">
      <c r="A250" s="6" t="s">
        <v>1251</v>
      </c>
      <c r="B250" s="6" t="s">
        <v>792</v>
      </c>
      <c r="C250" s="6" t="s">
        <v>45</v>
      </c>
      <c r="D250" s="11" t="s">
        <v>793</v>
      </c>
      <c r="E250" s="11">
        <v>1</v>
      </c>
      <c r="F250" s="11" t="s">
        <v>794</v>
      </c>
      <c r="G250" s="11">
        <v>-1</v>
      </c>
      <c r="H250" s="11" t="s">
        <v>794</v>
      </c>
      <c r="I250" s="11">
        <v>-1000</v>
      </c>
      <c r="J250" s="11">
        <v>1000</v>
      </c>
      <c r="K250" s="11">
        <v>0</v>
      </c>
      <c r="L250" s="11" t="s">
        <v>94</v>
      </c>
      <c r="M250" s="6" t="s">
        <v>795</v>
      </c>
      <c r="N250" s="6" t="s">
        <v>273</v>
      </c>
      <c r="O250" s="11" t="str">
        <f t="shared" si="23"/>
        <v>ISP</v>
      </c>
    </row>
    <row r="251" spans="1:15">
      <c r="A251" s="6" t="s">
        <v>1252</v>
      </c>
      <c r="B251" s="6" t="s">
        <v>792</v>
      </c>
      <c r="C251" s="6" t="s">
        <v>45</v>
      </c>
      <c r="D251" s="11" t="s">
        <v>793</v>
      </c>
      <c r="E251" s="11">
        <v>1</v>
      </c>
      <c r="F251" s="11" t="s">
        <v>794</v>
      </c>
      <c r="G251" s="11">
        <v>-1</v>
      </c>
      <c r="H251" s="11" t="s">
        <v>794</v>
      </c>
      <c r="I251" s="11">
        <v>-1000</v>
      </c>
      <c r="J251" s="11">
        <v>1000</v>
      </c>
      <c r="K251" s="11">
        <v>0</v>
      </c>
      <c r="L251" s="11" t="s">
        <v>94</v>
      </c>
      <c r="M251" s="6" t="s">
        <v>795</v>
      </c>
      <c r="N251" s="6" t="s">
        <v>1253</v>
      </c>
      <c r="O251" s="11" t="str">
        <f t="shared" si="23"/>
        <v>ISP</v>
      </c>
    </row>
    <row r="252" spans="1:15">
      <c r="A252" s="6" t="s">
        <v>1254</v>
      </c>
      <c r="B252" s="6" t="s">
        <v>792</v>
      </c>
      <c r="C252" s="6" t="s">
        <v>46</v>
      </c>
      <c r="D252" s="11" t="s">
        <v>793</v>
      </c>
      <c r="E252" s="11">
        <v>1</v>
      </c>
      <c r="F252" s="11" t="s">
        <v>794</v>
      </c>
      <c r="G252" s="11">
        <v>-1</v>
      </c>
      <c r="H252" s="11" t="s">
        <v>794</v>
      </c>
      <c r="I252" s="11">
        <v>0</v>
      </c>
      <c r="J252" s="11">
        <v>1</v>
      </c>
      <c r="K252" s="11">
        <v>0</v>
      </c>
      <c r="L252" s="11" t="s">
        <v>79</v>
      </c>
      <c r="M252" s="6" t="s">
        <v>795</v>
      </c>
      <c r="N252" s="6" t="s">
        <v>1255</v>
      </c>
      <c r="O252" s="11" t="str">
        <f t="shared" si="23"/>
        <v>ISP</v>
      </c>
    </row>
    <row r="253" spans="1:15">
      <c r="A253" s="6" t="s">
        <v>1256</v>
      </c>
      <c r="B253" s="6" t="s">
        <v>792</v>
      </c>
      <c r="C253" s="6" t="s">
        <v>46</v>
      </c>
      <c r="D253" s="11" t="s">
        <v>793</v>
      </c>
      <c r="E253" s="11">
        <v>1</v>
      </c>
      <c r="F253" s="11" t="s">
        <v>794</v>
      </c>
      <c r="G253" s="11">
        <v>-1</v>
      </c>
      <c r="H253" s="11" t="s">
        <v>794</v>
      </c>
      <c r="I253" s="11">
        <v>0</v>
      </c>
      <c r="J253" s="11">
        <v>1</v>
      </c>
      <c r="K253" s="11">
        <v>0</v>
      </c>
      <c r="L253" s="11" t="s">
        <v>79</v>
      </c>
      <c r="M253" s="6" t="s">
        <v>795</v>
      </c>
      <c r="N253" s="6" t="s">
        <v>1257</v>
      </c>
      <c r="O253" s="11" t="str">
        <f t="shared" ref="O253:O267" si="24">MID(A253,1,3)</f>
        <v>ISP</v>
      </c>
    </row>
    <row r="254" spans="1:15">
      <c r="A254" s="6" t="s">
        <v>1258</v>
      </c>
      <c r="B254" s="6" t="s">
        <v>792</v>
      </c>
      <c r="C254" s="6" t="s">
        <v>46</v>
      </c>
      <c r="D254" s="11" t="s">
        <v>793</v>
      </c>
      <c r="E254" s="11">
        <v>1</v>
      </c>
      <c r="F254" s="11" t="s">
        <v>794</v>
      </c>
      <c r="G254" s="11">
        <v>-1</v>
      </c>
      <c r="H254" s="11" t="s">
        <v>794</v>
      </c>
      <c r="I254" s="11">
        <v>0</v>
      </c>
      <c r="J254" s="11">
        <v>1</v>
      </c>
      <c r="K254" s="11">
        <v>0</v>
      </c>
      <c r="L254" s="11" t="s">
        <v>79</v>
      </c>
      <c r="M254" s="6" t="s">
        <v>795</v>
      </c>
      <c r="N254" s="6" t="s">
        <v>1259</v>
      </c>
      <c r="O254" s="11" t="str">
        <f t="shared" si="24"/>
        <v>ISP</v>
      </c>
    </row>
    <row r="255" spans="1:15">
      <c r="A255" s="6" t="s">
        <v>1260</v>
      </c>
      <c r="B255" s="6" t="s">
        <v>792</v>
      </c>
      <c r="C255" s="6" t="s">
        <v>46</v>
      </c>
      <c r="D255" s="11" t="s">
        <v>793</v>
      </c>
      <c r="E255" s="11">
        <v>1</v>
      </c>
      <c r="F255" s="11" t="s">
        <v>794</v>
      </c>
      <c r="G255" s="11">
        <v>-1</v>
      </c>
      <c r="H255" s="11" t="s">
        <v>794</v>
      </c>
      <c r="I255" s="11">
        <v>0</v>
      </c>
      <c r="J255" s="11">
        <v>1</v>
      </c>
      <c r="K255" s="11">
        <v>0</v>
      </c>
      <c r="L255" s="11" t="s">
        <v>79</v>
      </c>
      <c r="M255" s="6" t="s">
        <v>795</v>
      </c>
      <c r="N255" s="6" t="s">
        <v>1261</v>
      </c>
      <c r="O255" s="11" t="str">
        <f t="shared" si="24"/>
        <v>ISP</v>
      </c>
    </row>
    <row r="256" spans="1:15">
      <c r="A256" s="6" t="s">
        <v>1262</v>
      </c>
      <c r="B256" s="6" t="s">
        <v>792</v>
      </c>
      <c r="C256" s="6" t="s">
        <v>46</v>
      </c>
      <c r="D256" s="11" t="s">
        <v>793</v>
      </c>
      <c r="E256" s="11">
        <v>1</v>
      </c>
      <c r="F256" s="11" t="s">
        <v>794</v>
      </c>
      <c r="G256" s="11">
        <v>-1</v>
      </c>
      <c r="H256" s="11" t="s">
        <v>794</v>
      </c>
      <c r="I256" s="11">
        <v>0</v>
      </c>
      <c r="J256" s="11">
        <v>1</v>
      </c>
      <c r="K256" s="11">
        <v>0</v>
      </c>
      <c r="L256" s="11" t="s">
        <v>79</v>
      </c>
      <c r="M256" s="6" t="s">
        <v>795</v>
      </c>
      <c r="N256" s="6" t="s">
        <v>1263</v>
      </c>
      <c r="O256" s="11" t="str">
        <f t="shared" si="24"/>
        <v>ISP</v>
      </c>
    </row>
    <row r="257" spans="1:15">
      <c r="A257" s="6" t="s">
        <v>1264</v>
      </c>
      <c r="B257" s="6" t="s">
        <v>792</v>
      </c>
      <c r="C257" s="6" t="s">
        <v>46</v>
      </c>
      <c r="D257" s="11" t="s">
        <v>793</v>
      </c>
      <c r="E257" s="11">
        <v>1</v>
      </c>
      <c r="F257" s="11" t="s">
        <v>794</v>
      </c>
      <c r="G257" s="11">
        <v>-1</v>
      </c>
      <c r="H257" s="11" t="s">
        <v>794</v>
      </c>
      <c r="I257" s="11">
        <v>0</v>
      </c>
      <c r="J257" s="11">
        <v>1</v>
      </c>
      <c r="K257" s="11">
        <v>0</v>
      </c>
      <c r="L257" s="11" t="s">
        <v>79</v>
      </c>
      <c r="M257" s="6" t="s">
        <v>795</v>
      </c>
      <c r="N257" s="6" t="s">
        <v>1265</v>
      </c>
      <c r="O257" s="11" t="str">
        <f t="shared" si="24"/>
        <v>ISP</v>
      </c>
    </row>
    <row r="258" spans="1:15">
      <c r="A258" s="6" t="s">
        <v>1266</v>
      </c>
      <c r="B258" s="6" t="s">
        <v>792</v>
      </c>
      <c r="C258" s="6" t="s">
        <v>46</v>
      </c>
      <c r="D258" s="11" t="s">
        <v>793</v>
      </c>
      <c r="E258" s="11">
        <v>1</v>
      </c>
      <c r="F258" s="11" t="s">
        <v>794</v>
      </c>
      <c r="G258" s="11">
        <v>-1</v>
      </c>
      <c r="H258" s="11" t="s">
        <v>794</v>
      </c>
      <c r="I258" s="11">
        <v>0</v>
      </c>
      <c r="J258" s="11">
        <v>1</v>
      </c>
      <c r="K258" s="11">
        <v>0</v>
      </c>
      <c r="L258" s="11" t="s">
        <v>79</v>
      </c>
      <c r="M258" s="6" t="s">
        <v>795</v>
      </c>
      <c r="N258" s="6" t="s">
        <v>1267</v>
      </c>
      <c r="O258" s="11" t="str">
        <f t="shared" si="24"/>
        <v>ISP</v>
      </c>
    </row>
    <row r="259" spans="1:15">
      <c r="A259" s="6" t="s">
        <v>1268</v>
      </c>
      <c r="B259" s="6" t="s">
        <v>792</v>
      </c>
      <c r="C259" s="6" t="s">
        <v>46</v>
      </c>
      <c r="D259" s="11" t="s">
        <v>793</v>
      </c>
      <c r="E259" s="11">
        <v>1</v>
      </c>
      <c r="F259" s="11" t="s">
        <v>794</v>
      </c>
      <c r="G259" s="11">
        <v>-1</v>
      </c>
      <c r="H259" s="11" t="s">
        <v>794</v>
      </c>
      <c r="I259" s="11">
        <v>0</v>
      </c>
      <c r="J259" s="11">
        <v>1</v>
      </c>
      <c r="K259" s="11">
        <v>0</v>
      </c>
      <c r="L259" s="11" t="s">
        <v>79</v>
      </c>
      <c r="M259" s="6" t="s">
        <v>795</v>
      </c>
      <c r="N259" s="6" t="s">
        <v>1269</v>
      </c>
      <c r="O259" s="11" t="str">
        <f t="shared" si="24"/>
        <v>ISP</v>
      </c>
    </row>
    <row r="260" spans="1:15">
      <c r="A260" s="6" t="s">
        <v>1270</v>
      </c>
      <c r="B260" s="6" t="s">
        <v>792</v>
      </c>
      <c r="C260" s="6" t="s">
        <v>46</v>
      </c>
      <c r="D260" s="11" t="s">
        <v>793</v>
      </c>
      <c r="E260" s="11">
        <v>1</v>
      </c>
      <c r="F260" s="11" t="s">
        <v>794</v>
      </c>
      <c r="G260" s="11">
        <v>-1</v>
      </c>
      <c r="H260" s="11" t="s">
        <v>794</v>
      </c>
      <c r="I260" s="11">
        <v>0</v>
      </c>
      <c r="J260" s="11">
        <v>1</v>
      </c>
      <c r="K260" s="11">
        <v>0</v>
      </c>
      <c r="L260" s="11" t="s">
        <v>79</v>
      </c>
      <c r="M260" s="6" t="s">
        <v>795</v>
      </c>
      <c r="N260" s="6" t="s">
        <v>1271</v>
      </c>
      <c r="O260" s="11" t="str">
        <f t="shared" si="24"/>
        <v>ISP</v>
      </c>
    </row>
    <row r="261" spans="1:15">
      <c r="A261" s="6" t="s">
        <v>1272</v>
      </c>
      <c r="B261" s="6" t="s">
        <v>792</v>
      </c>
      <c r="C261" s="6" t="s">
        <v>837</v>
      </c>
      <c r="D261" s="11" t="s">
        <v>793</v>
      </c>
      <c r="E261" s="11">
        <v>1</v>
      </c>
      <c r="F261" s="11" t="s">
        <v>794</v>
      </c>
      <c r="G261" s="11">
        <v>-1</v>
      </c>
      <c r="H261" s="11" t="s">
        <v>794</v>
      </c>
      <c r="I261" s="11" t="s">
        <v>254</v>
      </c>
      <c r="J261" s="11" t="s">
        <v>254</v>
      </c>
      <c r="K261" s="11" t="s">
        <v>253</v>
      </c>
      <c r="L261" s="11" t="s">
        <v>79</v>
      </c>
      <c r="M261" s="6" t="s">
        <v>795</v>
      </c>
      <c r="N261" s="6" t="s">
        <v>1273</v>
      </c>
      <c r="O261" s="11" t="str">
        <f t="shared" si="24"/>
        <v>ISP</v>
      </c>
    </row>
    <row r="262" spans="1:15">
      <c r="A262" s="6" t="s">
        <v>1274</v>
      </c>
      <c r="B262" s="6" t="s">
        <v>792</v>
      </c>
      <c r="C262" s="6" t="s">
        <v>46</v>
      </c>
      <c r="D262" s="11" t="s">
        <v>793</v>
      </c>
      <c r="E262" s="11">
        <v>1</v>
      </c>
      <c r="F262" s="11" t="s">
        <v>794</v>
      </c>
      <c r="G262" s="11">
        <v>-1</v>
      </c>
      <c r="H262" s="11" t="s">
        <v>794</v>
      </c>
      <c r="I262" s="11">
        <v>0</v>
      </c>
      <c r="J262" s="11">
        <v>1</v>
      </c>
      <c r="K262" s="11">
        <v>0</v>
      </c>
      <c r="L262" s="11" t="s">
        <v>79</v>
      </c>
      <c r="M262" s="6" t="s">
        <v>795</v>
      </c>
      <c r="N262" s="6" t="s">
        <v>1275</v>
      </c>
      <c r="O262" s="11" t="str">
        <f t="shared" si="24"/>
        <v>TCP</v>
      </c>
    </row>
    <row r="263" spans="1:15">
      <c r="A263" s="6" t="s">
        <v>836</v>
      </c>
      <c r="B263" s="6" t="s">
        <v>792</v>
      </c>
      <c r="C263" s="6" t="s">
        <v>837</v>
      </c>
      <c r="D263" s="11" t="s">
        <v>793</v>
      </c>
      <c r="E263" s="11">
        <v>1</v>
      </c>
      <c r="F263" s="11" t="s">
        <v>794</v>
      </c>
      <c r="G263" s="11">
        <v>-1</v>
      </c>
      <c r="H263" s="11" t="s">
        <v>794</v>
      </c>
      <c r="I263" s="11" t="s">
        <v>254</v>
      </c>
      <c r="J263" s="11" t="s">
        <v>254</v>
      </c>
      <c r="K263" s="11" t="s">
        <v>253</v>
      </c>
      <c r="L263" s="11" t="s">
        <v>79</v>
      </c>
      <c r="M263" s="6" t="s">
        <v>795</v>
      </c>
      <c r="N263" s="6" t="s">
        <v>1273</v>
      </c>
      <c r="O263" s="11" t="str">
        <f t="shared" si="24"/>
        <v>COM</v>
      </c>
    </row>
    <row r="264" spans="1:15">
      <c r="A264" s="6" t="s">
        <v>1276</v>
      </c>
      <c r="B264" s="6" t="s">
        <v>792</v>
      </c>
      <c r="C264" s="6" t="s">
        <v>45</v>
      </c>
      <c r="D264" s="11" t="s">
        <v>793</v>
      </c>
      <c r="E264" s="11">
        <v>1</v>
      </c>
      <c r="F264" s="11" t="s">
        <v>794</v>
      </c>
      <c r="G264" s="11">
        <v>-1</v>
      </c>
      <c r="H264" s="11" t="s">
        <v>794</v>
      </c>
      <c r="I264" s="11">
        <v>-20000</v>
      </c>
      <c r="J264" s="11">
        <v>20000</v>
      </c>
      <c r="K264" s="11">
        <v>0</v>
      </c>
      <c r="L264" s="11" t="s">
        <v>235</v>
      </c>
      <c r="M264" s="6" t="s">
        <v>795</v>
      </c>
      <c r="N264" s="6" t="s">
        <v>1277</v>
      </c>
      <c r="O264" s="11" t="str">
        <f t="shared" si="24"/>
        <v>COM</v>
      </c>
    </row>
    <row r="265" spans="1:15">
      <c r="A265" s="6" t="s">
        <v>1278</v>
      </c>
      <c r="B265" s="6" t="s">
        <v>792</v>
      </c>
      <c r="C265" s="6" t="s">
        <v>45</v>
      </c>
      <c r="D265" s="11" t="s">
        <v>793</v>
      </c>
      <c r="E265" s="11">
        <v>1</v>
      </c>
      <c r="F265" s="11" t="s">
        <v>794</v>
      </c>
      <c r="G265" s="11">
        <v>-1</v>
      </c>
      <c r="H265" s="11" t="s">
        <v>794</v>
      </c>
      <c r="I265" s="11">
        <v>-1000</v>
      </c>
      <c r="J265" s="11">
        <v>1000</v>
      </c>
      <c r="K265" s="11">
        <v>0</v>
      </c>
      <c r="L265" s="11" t="s">
        <v>94</v>
      </c>
      <c r="M265" s="6" t="s">
        <v>795</v>
      </c>
      <c r="N265" s="6" t="s">
        <v>1279</v>
      </c>
      <c r="O265" s="11" t="str">
        <f t="shared" si="24"/>
        <v>COM</v>
      </c>
    </row>
    <row r="266" spans="1:15">
      <c r="A266" s="6" t="s">
        <v>1280</v>
      </c>
      <c r="B266" s="6" t="s">
        <v>792</v>
      </c>
      <c r="C266" s="6" t="s">
        <v>45</v>
      </c>
      <c r="D266" s="11" t="s">
        <v>793</v>
      </c>
      <c r="E266" s="11">
        <v>1</v>
      </c>
      <c r="F266" s="11" t="s">
        <v>794</v>
      </c>
      <c r="G266" s="11">
        <v>-1</v>
      </c>
      <c r="H266" s="11" t="s">
        <v>794</v>
      </c>
      <c r="I266" s="11">
        <v>-1000</v>
      </c>
      <c r="J266" s="11">
        <v>1000</v>
      </c>
      <c r="K266" s="11">
        <v>0</v>
      </c>
      <c r="L266" s="11" t="s">
        <v>108</v>
      </c>
      <c r="M266" s="6" t="s">
        <v>795</v>
      </c>
      <c r="N266" s="6" t="s">
        <v>1281</v>
      </c>
      <c r="O266" s="11" t="str">
        <f t="shared" si="24"/>
        <v>COM</v>
      </c>
    </row>
    <row r="267" spans="1:15">
      <c r="A267" s="6" t="s">
        <v>1282</v>
      </c>
      <c r="B267" s="6" t="s">
        <v>792</v>
      </c>
      <c r="C267" s="6" t="s">
        <v>837</v>
      </c>
      <c r="D267" s="11" t="s">
        <v>793</v>
      </c>
      <c r="E267" s="11">
        <v>1</v>
      </c>
      <c r="F267" s="11" t="s">
        <v>794</v>
      </c>
      <c r="G267" s="11">
        <v>-1</v>
      </c>
      <c r="H267" s="11" t="s">
        <v>794</v>
      </c>
      <c r="I267" s="11" t="s">
        <v>254</v>
      </c>
      <c r="J267" s="11" t="s">
        <v>254</v>
      </c>
      <c r="K267" s="11" t="s">
        <v>253</v>
      </c>
      <c r="L267" s="11" t="s">
        <v>79</v>
      </c>
      <c r="M267" s="6" t="s">
        <v>795</v>
      </c>
      <c r="N267" s="6" t="s">
        <v>1283</v>
      </c>
      <c r="O267" s="11" t="str">
        <f t="shared" si="24"/>
        <v>COM</v>
      </c>
    </row>
    <row r="268" spans="1:14">
      <c r="A268" s="6" t="s">
        <v>1284</v>
      </c>
      <c r="B268" s="6" t="s">
        <v>792</v>
      </c>
      <c r="C268" s="6" t="s">
        <v>54</v>
      </c>
      <c r="D268" s="11" t="s">
        <v>793</v>
      </c>
      <c r="E268" s="11">
        <v>1</v>
      </c>
      <c r="F268" s="11" t="s">
        <v>794</v>
      </c>
      <c r="G268" s="11">
        <v>-1</v>
      </c>
      <c r="H268" s="11" t="s">
        <v>794</v>
      </c>
      <c r="I268" s="31" t="s">
        <v>1285</v>
      </c>
      <c r="J268" s="31" t="s">
        <v>1285</v>
      </c>
      <c r="K268" s="31" t="s">
        <v>1285</v>
      </c>
      <c r="M268" s="6" t="s">
        <v>1286</v>
      </c>
      <c r="N268" s="6" t="s">
        <v>1287</v>
      </c>
    </row>
    <row r="269" spans="1:14">
      <c r="A269" s="6" t="s">
        <v>1288</v>
      </c>
      <c r="B269" s="6" t="s">
        <v>792</v>
      </c>
      <c r="C269" s="6" t="s">
        <v>55</v>
      </c>
      <c r="D269" s="11" t="s">
        <v>793</v>
      </c>
      <c r="E269" s="11">
        <v>1</v>
      </c>
      <c r="F269" s="11" t="s">
        <v>794</v>
      </c>
      <c r="G269" s="11">
        <v>-1</v>
      </c>
      <c r="H269" s="11" t="s">
        <v>794</v>
      </c>
      <c r="I269" s="31" t="s">
        <v>1285</v>
      </c>
      <c r="J269" s="31" t="s">
        <v>1285</v>
      </c>
      <c r="K269" s="31" t="s">
        <v>1285</v>
      </c>
      <c r="M269" s="6" t="s">
        <v>1289</v>
      </c>
      <c r="N269" s="6" t="s">
        <v>1287</v>
      </c>
    </row>
    <row r="270" spans="1:14">
      <c r="A270" s="6" t="s">
        <v>1290</v>
      </c>
      <c r="B270" s="6" t="s">
        <v>792</v>
      </c>
      <c r="C270" s="6" t="s">
        <v>56</v>
      </c>
      <c r="D270" s="11" t="s">
        <v>793</v>
      </c>
      <c r="E270" s="11">
        <v>1</v>
      </c>
      <c r="F270" s="11" t="s">
        <v>794</v>
      </c>
      <c r="G270" s="11">
        <v>-1</v>
      </c>
      <c r="H270" s="11" t="s">
        <v>794</v>
      </c>
      <c r="I270" s="31" t="s">
        <v>1285</v>
      </c>
      <c r="J270" s="31" t="s">
        <v>1285</v>
      </c>
      <c r="K270" s="31" t="s">
        <v>1285</v>
      </c>
      <c r="M270" s="6" t="s">
        <v>1286</v>
      </c>
      <c r="N270" s="6" t="s">
        <v>1291</v>
      </c>
    </row>
    <row r="271" spans="1:14">
      <c r="A271" s="6" t="s">
        <v>1292</v>
      </c>
      <c r="B271" s="6" t="s">
        <v>792</v>
      </c>
      <c r="C271" s="6" t="s">
        <v>62</v>
      </c>
      <c r="D271" s="11" t="s">
        <v>793</v>
      </c>
      <c r="E271" s="11">
        <v>1</v>
      </c>
      <c r="F271" s="11" t="s">
        <v>794</v>
      </c>
      <c r="G271" s="11">
        <v>-1</v>
      </c>
      <c r="H271" s="11" t="s">
        <v>794</v>
      </c>
      <c r="I271" s="31" t="s">
        <v>1285</v>
      </c>
      <c r="J271" s="31" t="s">
        <v>1285</v>
      </c>
      <c r="K271" s="31" t="s">
        <v>1285</v>
      </c>
      <c r="M271" s="6" t="s">
        <v>1289</v>
      </c>
      <c r="N271" s="6" t="s">
        <v>1291</v>
      </c>
    </row>
    <row r="272" spans="1:14">
      <c r="A272" s="6" t="s">
        <v>1293</v>
      </c>
      <c r="B272" s="6" t="s">
        <v>792</v>
      </c>
      <c r="C272" s="6" t="s">
        <v>58</v>
      </c>
      <c r="D272" s="11" t="s">
        <v>793</v>
      </c>
      <c r="E272" s="11">
        <v>1</v>
      </c>
      <c r="F272" s="11" t="s">
        <v>794</v>
      </c>
      <c r="G272" s="11">
        <v>-1</v>
      </c>
      <c r="H272" s="11" t="s">
        <v>794</v>
      </c>
      <c r="I272" s="31" t="s">
        <v>1285</v>
      </c>
      <c r="J272" s="31" t="s">
        <v>1285</v>
      </c>
      <c r="K272" s="31" t="s">
        <v>1285</v>
      </c>
      <c r="M272" s="6" t="s">
        <v>1289</v>
      </c>
      <c r="N272" s="6" t="s">
        <v>1294</v>
      </c>
    </row>
    <row r="273" spans="1:14">
      <c r="A273" s="6" t="s">
        <v>1295</v>
      </c>
      <c r="B273" s="6" t="s">
        <v>792</v>
      </c>
      <c r="C273" s="6" t="s">
        <v>57</v>
      </c>
      <c r="D273" s="11" t="s">
        <v>793</v>
      </c>
      <c r="E273" s="11">
        <v>1</v>
      </c>
      <c r="F273" s="11" t="s">
        <v>794</v>
      </c>
      <c r="G273" s="11">
        <v>-1</v>
      </c>
      <c r="H273" s="11" t="s">
        <v>794</v>
      </c>
      <c r="I273" s="31" t="s">
        <v>1285</v>
      </c>
      <c r="J273" s="31" t="s">
        <v>1285</v>
      </c>
      <c r="K273" s="31" t="s">
        <v>1285</v>
      </c>
      <c r="M273" s="6" t="s">
        <v>1289</v>
      </c>
      <c r="N273" s="6" t="s">
        <v>1296</v>
      </c>
    </row>
    <row r="274" spans="1:14">
      <c r="A274" s="6" t="s">
        <v>1297</v>
      </c>
      <c r="B274" s="6" t="s">
        <v>792</v>
      </c>
      <c r="C274" s="6" t="s">
        <v>57</v>
      </c>
      <c r="D274" s="11" t="s">
        <v>793</v>
      </c>
      <c r="E274" s="11">
        <v>1</v>
      </c>
      <c r="F274" s="11" t="s">
        <v>794</v>
      </c>
      <c r="G274" s="11">
        <v>-1</v>
      </c>
      <c r="H274" s="11" t="s">
        <v>794</v>
      </c>
      <c r="I274" s="31" t="s">
        <v>1285</v>
      </c>
      <c r="J274" s="31" t="s">
        <v>1285</v>
      </c>
      <c r="K274" s="31" t="s">
        <v>1285</v>
      </c>
      <c r="M274" s="6" t="s">
        <v>1286</v>
      </c>
      <c r="N274" s="6" t="s">
        <v>1298</v>
      </c>
    </row>
    <row r="275" spans="1:14">
      <c r="A275" s="6" t="s">
        <v>1299</v>
      </c>
      <c r="B275" s="6" t="s">
        <v>792</v>
      </c>
      <c r="C275" s="6" t="s">
        <v>63</v>
      </c>
      <c r="D275" s="11" t="s">
        <v>793</v>
      </c>
      <c r="E275" s="11">
        <v>1</v>
      </c>
      <c r="F275" s="11" t="s">
        <v>794</v>
      </c>
      <c r="G275" s="11">
        <v>-1</v>
      </c>
      <c r="H275" s="11" t="s">
        <v>794</v>
      </c>
      <c r="I275" s="31" t="s">
        <v>1285</v>
      </c>
      <c r="J275" s="31" t="s">
        <v>1285</v>
      </c>
      <c r="K275" s="31" t="s">
        <v>1285</v>
      </c>
      <c r="M275" s="6" t="s">
        <v>1289</v>
      </c>
      <c r="N275" s="6" t="s">
        <v>1300</v>
      </c>
    </row>
    <row r="276" ht="13.5" customHeight="1" spans="1:14">
      <c r="A276" s="6" t="s">
        <v>1301</v>
      </c>
      <c r="B276" s="6" t="s">
        <v>792</v>
      </c>
      <c r="C276" s="6" t="s">
        <v>63</v>
      </c>
      <c r="D276" s="11" t="s">
        <v>793</v>
      </c>
      <c r="E276" s="11">
        <v>1</v>
      </c>
      <c r="F276" s="11" t="s">
        <v>794</v>
      </c>
      <c r="G276" s="11">
        <v>-1</v>
      </c>
      <c r="H276" s="11" t="s">
        <v>794</v>
      </c>
      <c r="I276" s="31" t="s">
        <v>1285</v>
      </c>
      <c r="J276" s="31" t="s">
        <v>1285</v>
      </c>
      <c r="K276" s="31" t="s">
        <v>1285</v>
      </c>
      <c r="M276" s="6" t="s">
        <v>1289</v>
      </c>
      <c r="N276" s="6" t="s">
        <v>1302</v>
      </c>
    </row>
    <row r="277" spans="1:14">
      <c r="A277" s="6" t="s">
        <v>1303</v>
      </c>
      <c r="B277" s="6" t="s">
        <v>792</v>
      </c>
      <c r="C277" s="6" t="s">
        <v>64</v>
      </c>
      <c r="D277" s="11" t="s">
        <v>793</v>
      </c>
      <c r="E277" s="11">
        <v>1</v>
      </c>
      <c r="F277" s="11" t="s">
        <v>794</v>
      </c>
      <c r="G277" s="11">
        <v>-1</v>
      </c>
      <c r="H277" s="11" t="s">
        <v>794</v>
      </c>
      <c r="I277" s="31" t="s">
        <v>1285</v>
      </c>
      <c r="J277" s="31" t="s">
        <v>1285</v>
      </c>
      <c r="K277" s="31" t="s">
        <v>1285</v>
      </c>
      <c r="M277" s="6" t="s">
        <v>1289</v>
      </c>
      <c r="N277" s="6" t="s">
        <v>1304</v>
      </c>
    </row>
    <row r="278" spans="1:14">
      <c r="A278" s="6" t="s">
        <v>1305</v>
      </c>
      <c r="B278" s="6" t="s">
        <v>792</v>
      </c>
      <c r="C278" s="6" t="s">
        <v>65</v>
      </c>
      <c r="D278" s="11" t="s">
        <v>793</v>
      </c>
      <c r="E278" s="11">
        <v>1</v>
      </c>
      <c r="F278" s="11" t="s">
        <v>794</v>
      </c>
      <c r="G278" s="11">
        <v>-1</v>
      </c>
      <c r="H278" s="11" t="s">
        <v>794</v>
      </c>
      <c r="I278" s="31" t="s">
        <v>1285</v>
      </c>
      <c r="J278" s="31" t="s">
        <v>1285</v>
      </c>
      <c r="K278" s="31" t="s">
        <v>1285</v>
      </c>
      <c r="M278" s="6" t="s">
        <v>1289</v>
      </c>
      <c r="N278" s="6" t="s">
        <v>1306</v>
      </c>
    </row>
    <row r="279" spans="1:14">
      <c r="A279" s="6" t="s">
        <v>1307</v>
      </c>
      <c r="B279" s="6" t="s">
        <v>792</v>
      </c>
      <c r="C279" s="6" t="s">
        <v>64</v>
      </c>
      <c r="D279" s="11" t="s">
        <v>793</v>
      </c>
      <c r="E279" s="11">
        <v>1</v>
      </c>
      <c r="F279" s="11" t="s">
        <v>794</v>
      </c>
      <c r="G279" s="11">
        <v>-1</v>
      </c>
      <c r="H279" s="11" t="s">
        <v>794</v>
      </c>
      <c r="I279" s="31" t="s">
        <v>1285</v>
      </c>
      <c r="J279" s="31" t="s">
        <v>1285</v>
      </c>
      <c r="K279" s="31" t="s">
        <v>1285</v>
      </c>
      <c r="M279" s="6" t="s">
        <v>1289</v>
      </c>
      <c r="N279" s="6" t="s">
        <v>1308</v>
      </c>
    </row>
    <row r="280" spans="1:14">
      <c r="A280" s="6" t="s">
        <v>1309</v>
      </c>
      <c r="B280" s="6" t="s">
        <v>792</v>
      </c>
      <c r="C280" s="6" t="s">
        <v>65</v>
      </c>
      <c r="D280" s="11" t="s">
        <v>793</v>
      </c>
      <c r="E280" s="11">
        <v>1</v>
      </c>
      <c r="F280" s="11" t="s">
        <v>794</v>
      </c>
      <c r="G280" s="11">
        <v>-1</v>
      </c>
      <c r="H280" s="11" t="s">
        <v>794</v>
      </c>
      <c r="I280" s="31" t="s">
        <v>1285</v>
      </c>
      <c r="J280" s="31" t="s">
        <v>1285</v>
      </c>
      <c r="K280" s="31" t="s">
        <v>1285</v>
      </c>
      <c r="M280" s="6" t="s">
        <v>1289</v>
      </c>
      <c r="N280" s="6" t="s">
        <v>1310</v>
      </c>
    </row>
    <row r="281" spans="1:14">
      <c r="A281" s="6" t="s">
        <v>1311</v>
      </c>
      <c r="B281" s="6" t="s">
        <v>792</v>
      </c>
      <c r="C281" s="6" t="s">
        <v>68</v>
      </c>
      <c r="D281" s="11" t="s">
        <v>793</v>
      </c>
      <c r="E281" s="11">
        <v>1</v>
      </c>
      <c r="F281" s="11" t="s">
        <v>794</v>
      </c>
      <c r="G281" s="11">
        <v>-1</v>
      </c>
      <c r="H281" s="11" t="s">
        <v>794</v>
      </c>
      <c r="I281" s="31" t="s">
        <v>1285</v>
      </c>
      <c r="J281" s="31" t="s">
        <v>1285</v>
      </c>
      <c r="K281" s="31" t="s">
        <v>1285</v>
      </c>
      <c r="M281" s="6" t="s">
        <v>1289</v>
      </c>
      <c r="N281" s="6" t="s">
        <v>1312</v>
      </c>
    </row>
    <row r="282" spans="1:15">
      <c r="A282" s="6" t="s">
        <v>1313</v>
      </c>
      <c r="B282" s="6" t="s">
        <v>792</v>
      </c>
      <c r="C282" s="6" t="s">
        <v>41</v>
      </c>
      <c r="D282" s="11" t="s">
        <v>793</v>
      </c>
      <c r="E282" s="11">
        <v>1</v>
      </c>
      <c r="F282" s="11" t="s">
        <v>794</v>
      </c>
      <c r="G282" s="11">
        <v>-1</v>
      </c>
      <c r="H282" s="11" t="s">
        <v>794</v>
      </c>
      <c r="I282" s="31" t="s">
        <v>1285</v>
      </c>
      <c r="J282" s="31" t="s">
        <v>1285</v>
      </c>
      <c r="K282" s="11">
        <v>0</v>
      </c>
      <c r="L282" s="11" t="s">
        <v>79</v>
      </c>
      <c r="M282" s="6" t="s">
        <v>1289</v>
      </c>
      <c r="N282" s="6" t="s">
        <v>1314</v>
      </c>
      <c r="O282" s="11" t="s">
        <v>1315</v>
      </c>
    </row>
    <row r="283" spans="1:15">
      <c r="A283" s="6" t="s">
        <v>1316</v>
      </c>
      <c r="B283" s="6" t="s">
        <v>792</v>
      </c>
      <c r="C283" s="6" t="s">
        <v>45</v>
      </c>
      <c r="D283" s="11" t="s">
        <v>793</v>
      </c>
      <c r="E283" s="11">
        <v>1</v>
      </c>
      <c r="F283" s="11" t="s">
        <v>794</v>
      </c>
      <c r="G283" s="11">
        <v>-1</v>
      </c>
      <c r="H283" s="11" t="s">
        <v>794</v>
      </c>
      <c r="I283" s="31" t="s">
        <v>1285</v>
      </c>
      <c r="J283" s="31" t="s">
        <v>1285</v>
      </c>
      <c r="K283" s="11">
        <v>0</v>
      </c>
      <c r="L283" s="11" t="s">
        <v>79</v>
      </c>
      <c r="M283" s="6" t="s">
        <v>795</v>
      </c>
      <c r="N283" s="6" t="s">
        <v>1317</v>
      </c>
      <c r="O283" s="11" t="s">
        <v>1315</v>
      </c>
    </row>
    <row r="284" spans="1:15">
      <c r="A284" s="6" t="s">
        <v>1318</v>
      </c>
      <c r="B284" s="6" t="s">
        <v>792</v>
      </c>
      <c r="C284" s="6" t="s">
        <v>45</v>
      </c>
      <c r="D284" s="11" t="s">
        <v>793</v>
      </c>
      <c r="E284" s="11">
        <v>1</v>
      </c>
      <c r="F284" s="11" t="s">
        <v>794</v>
      </c>
      <c r="G284" s="11">
        <v>-1</v>
      </c>
      <c r="H284" s="11" t="s">
        <v>794</v>
      </c>
      <c r="I284" s="31" t="s">
        <v>1285</v>
      </c>
      <c r="J284" s="31" t="s">
        <v>1285</v>
      </c>
      <c r="K284" s="11">
        <v>0</v>
      </c>
      <c r="L284" s="11" t="s">
        <v>79</v>
      </c>
      <c r="M284" s="6" t="s">
        <v>795</v>
      </c>
      <c r="N284" s="6" t="s">
        <v>1319</v>
      </c>
      <c r="O284" s="11" t="s">
        <v>1315</v>
      </c>
    </row>
    <row r="285" spans="1:15">
      <c r="A285" s="6" t="s">
        <v>1320</v>
      </c>
      <c r="B285" s="6" t="s">
        <v>792</v>
      </c>
      <c r="C285" s="6" t="s">
        <v>45</v>
      </c>
      <c r="D285" s="11" t="s">
        <v>793</v>
      </c>
      <c r="E285" s="11">
        <v>1</v>
      </c>
      <c r="F285" s="11" t="s">
        <v>794</v>
      </c>
      <c r="G285" s="11">
        <v>-1</v>
      </c>
      <c r="H285" s="11" t="s">
        <v>794</v>
      </c>
      <c r="I285" s="31" t="s">
        <v>1285</v>
      </c>
      <c r="J285" s="31" t="s">
        <v>1285</v>
      </c>
      <c r="K285" s="11">
        <v>0</v>
      </c>
      <c r="L285" s="11" t="s">
        <v>79</v>
      </c>
      <c r="M285" s="6" t="s">
        <v>795</v>
      </c>
      <c r="N285" s="6" t="s">
        <v>1321</v>
      </c>
      <c r="O285" s="11" t="s">
        <v>1315</v>
      </c>
    </row>
    <row r="286" spans="1:15">
      <c r="A286" s="6" t="s">
        <v>1322</v>
      </c>
      <c r="B286" s="6" t="s">
        <v>792</v>
      </c>
      <c r="C286" s="6" t="s">
        <v>45</v>
      </c>
      <c r="D286" s="11" t="s">
        <v>793</v>
      </c>
      <c r="E286" s="11">
        <v>1</v>
      </c>
      <c r="F286" s="11" t="s">
        <v>794</v>
      </c>
      <c r="G286" s="11">
        <v>-1</v>
      </c>
      <c r="H286" s="11" t="s">
        <v>794</v>
      </c>
      <c r="I286" s="31" t="s">
        <v>1285</v>
      </c>
      <c r="J286" s="31" t="s">
        <v>1285</v>
      </c>
      <c r="K286" s="11">
        <v>0</v>
      </c>
      <c r="L286" s="11" t="s">
        <v>79</v>
      </c>
      <c r="M286" s="6" t="s">
        <v>795</v>
      </c>
      <c r="N286" s="6" t="s">
        <v>1323</v>
      </c>
      <c r="O286" s="11" t="s">
        <v>1315</v>
      </c>
    </row>
    <row r="287" spans="1:15">
      <c r="A287" s="6" t="s">
        <v>1324</v>
      </c>
      <c r="B287" s="6" t="s">
        <v>792</v>
      </c>
      <c r="C287" s="6" t="s">
        <v>45</v>
      </c>
      <c r="D287" s="11" t="s">
        <v>793</v>
      </c>
      <c r="E287" s="11">
        <v>1</v>
      </c>
      <c r="F287" s="11" t="s">
        <v>794</v>
      </c>
      <c r="G287" s="11">
        <v>-1</v>
      </c>
      <c r="H287" s="11" t="s">
        <v>794</v>
      </c>
      <c r="I287" s="31" t="s">
        <v>1285</v>
      </c>
      <c r="J287" s="31" t="s">
        <v>1285</v>
      </c>
      <c r="K287" s="11">
        <v>0</v>
      </c>
      <c r="L287" s="11" t="s">
        <v>79</v>
      </c>
      <c r="M287" s="6" t="s">
        <v>795</v>
      </c>
      <c r="N287" s="6" t="s">
        <v>1324</v>
      </c>
      <c r="O287" s="11" t="s">
        <v>1315</v>
      </c>
    </row>
    <row r="288" spans="1:15">
      <c r="A288" s="6" t="s">
        <v>1325</v>
      </c>
      <c r="B288" s="6" t="s">
        <v>792</v>
      </c>
      <c r="C288" s="6" t="s">
        <v>45</v>
      </c>
      <c r="D288" s="11" t="s">
        <v>793</v>
      </c>
      <c r="E288" s="11">
        <v>1</v>
      </c>
      <c r="F288" s="11" t="s">
        <v>794</v>
      </c>
      <c r="G288" s="11">
        <v>-1</v>
      </c>
      <c r="H288" s="11" t="s">
        <v>794</v>
      </c>
      <c r="I288" s="31" t="s">
        <v>1285</v>
      </c>
      <c r="J288" s="31" t="s">
        <v>1285</v>
      </c>
      <c r="K288" s="11">
        <v>0</v>
      </c>
      <c r="L288" s="11" t="s">
        <v>79</v>
      </c>
      <c r="M288" s="6" t="s">
        <v>795</v>
      </c>
      <c r="N288" s="6" t="s">
        <v>1325</v>
      </c>
      <c r="O288" s="11" t="s">
        <v>1315</v>
      </c>
    </row>
    <row r="289" spans="1:15">
      <c r="A289" s="6" t="s">
        <v>1326</v>
      </c>
      <c r="B289" s="6" t="s">
        <v>792</v>
      </c>
      <c r="C289" s="6" t="s">
        <v>45</v>
      </c>
      <c r="D289" s="11" t="s">
        <v>793</v>
      </c>
      <c r="E289" s="11">
        <v>1</v>
      </c>
      <c r="F289" s="11" t="s">
        <v>794</v>
      </c>
      <c r="G289" s="11">
        <v>-1</v>
      </c>
      <c r="H289" s="11" t="s">
        <v>794</v>
      </c>
      <c r="I289" s="31" t="s">
        <v>1285</v>
      </c>
      <c r="J289" s="31" t="s">
        <v>1285</v>
      </c>
      <c r="K289" s="11">
        <v>0</v>
      </c>
      <c r="L289" s="11" t="s">
        <v>79</v>
      </c>
      <c r="M289" s="6" t="s">
        <v>795</v>
      </c>
      <c r="N289" s="6" t="s">
        <v>1326</v>
      </c>
      <c r="O289" s="11" t="s">
        <v>1315</v>
      </c>
    </row>
    <row r="290" spans="1:15">
      <c r="A290" s="6" t="s">
        <v>1327</v>
      </c>
      <c r="B290" s="6" t="s">
        <v>792</v>
      </c>
      <c r="C290" s="6" t="s">
        <v>45</v>
      </c>
      <c r="D290" s="11" t="s">
        <v>793</v>
      </c>
      <c r="E290" s="11">
        <v>1</v>
      </c>
      <c r="F290" s="11" t="s">
        <v>794</v>
      </c>
      <c r="G290" s="11">
        <v>-1</v>
      </c>
      <c r="H290" s="11" t="s">
        <v>794</v>
      </c>
      <c r="I290" s="31" t="s">
        <v>1285</v>
      </c>
      <c r="J290" s="31" t="s">
        <v>1285</v>
      </c>
      <c r="K290" s="11">
        <v>0</v>
      </c>
      <c r="L290" s="11" t="s">
        <v>79</v>
      </c>
      <c r="M290" s="6" t="s">
        <v>795</v>
      </c>
      <c r="N290" s="6" t="s">
        <v>1327</v>
      </c>
      <c r="O290" s="11" t="s">
        <v>1315</v>
      </c>
    </row>
  </sheetData>
  <autoFilter ref="A1:O290">
    <extLst/>
  </autoFilter>
  <dataValidations count="9">
    <dataValidation type="list" allowBlank="1" showInputMessage="1" showErrorMessage="1" sqref="M1 M291:M1048576">
      <formula1>Comment!$L$17:$L$18</formula1>
    </dataValidation>
    <dataValidation type="list" allowBlank="1" showInputMessage="1" showErrorMessage="1" sqref="B282 B283 B284 B285 B286 B287 B288 B289 B290 B1:B227 B230:B281 B291:B1048576">
      <formula1>Comment!$B$17</formula1>
    </dataValidation>
    <dataValidation type="list" allowBlank="1" showInputMessage="1" showErrorMessage="1" sqref="F282 F283 F284 F285 F286 F287 F288 F289 F290 F1:F227 F230:F266 F267:F268 F269:F281 F291:F1048576">
      <formula1>Comment!$F$17:$F$19</formula1>
    </dataValidation>
    <dataValidation type="list" allowBlank="1" showInputMessage="1" showErrorMessage="1" sqref="C282 C283 C284 C285 C286 C287 C288 C289 C290 C1:C227 C230:C281 C291:C1048576">
      <formula1>DataTypeDefinition!$A$2:$A$31</formula1>
    </dataValidation>
    <dataValidation type="list" allowBlank="1" showInputMessage="1" sqref="M282 M283 M284 M285 M286 M287 M288 M289 M290 M2:M281">
      <formula1>Comment!$L$17:$L$22</formula1>
    </dataValidation>
    <dataValidation type="list" allowBlank="1" showInputMessage="1" showErrorMessage="1" sqref="D282 D283 D284 D285 D286 D287 D288 D289 D290 D1:D227 D230:D281 D291:D1048576">
      <formula1>Comment!$D$17</formula1>
    </dataValidation>
    <dataValidation type="list" allowBlank="1" showInputMessage="1" showErrorMessage="1" sqref="H282 H283 H284 H285 H286 H287 H288 H289 H290 H1:H227 H230:H281 H291:H1048576">
      <formula1>Comment!$H$17:$H$19</formula1>
    </dataValidation>
    <dataValidation type="list" allowBlank="1" showInputMessage="1" showErrorMessage="1" sqref="C228:C229">
      <formula1>[2]DataTypeDefinition!#REF!</formula1>
    </dataValidation>
    <dataValidation type="list" allowBlank="1" showInputMessage="1" showErrorMessage="1" sqref="B228:B229 D228:D229 F228:F229 H228:H229">
      <formula1>[2]Comment!#REF!</formula1>
    </dataValidation>
  </dataValidations>
  <pageMargins left="0.699305555555556" right="0.699305555555556" top="0.75" bottom="0.75" header="0.3" footer="0.3"/>
  <pageSetup paperSize="9" orientation="portrait"/>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L313"/>
  <sheetViews>
    <sheetView workbookViewId="0">
      <pane ySplit="1" topLeftCell="A10" activePane="bottomLeft" state="frozen"/>
      <selection/>
      <selection pane="bottomLeft" activeCell="D25" sqref="D25"/>
    </sheetView>
  </sheetViews>
  <sheetFormatPr defaultColWidth="9" defaultRowHeight="14"/>
  <cols>
    <col min="1" max="1" width="25.6363636363636" style="8" customWidth="1"/>
    <col min="2" max="2" width="18.6363636363636" style="8" customWidth="1"/>
    <col min="3" max="3" width="10.5" style="8" customWidth="1"/>
    <col min="4" max="4" width="15" style="8" customWidth="1"/>
    <col min="5" max="5" width="18.4545454545455" style="8" customWidth="1"/>
    <col min="6" max="6" width="10.8727272727273" style="8" customWidth="1"/>
    <col min="7" max="7" width="10" style="8" customWidth="1"/>
    <col min="8" max="8" width="4.62727272727273" style="8" customWidth="1"/>
    <col min="9" max="9" width="5" style="8" customWidth="1"/>
    <col min="10" max="10" width="8.62727272727273" style="8" customWidth="1"/>
    <col min="11" max="11" width="10.2545454545455" style="8" customWidth="1"/>
    <col min="12" max="16384" width="9" style="8"/>
  </cols>
  <sheetData>
    <row r="1" s="5" customFormat="1" ht="11.5" spans="1:11">
      <c r="A1" s="5" t="s">
        <v>1328</v>
      </c>
      <c r="B1" s="5" t="s">
        <v>1329</v>
      </c>
      <c r="C1" s="5" t="s">
        <v>786</v>
      </c>
      <c r="D1" s="5" t="s">
        <v>1330</v>
      </c>
      <c r="E1" s="5" t="s">
        <v>71</v>
      </c>
      <c r="F1" s="5" t="s">
        <v>788</v>
      </c>
      <c r="G1" s="5" t="s">
        <v>785</v>
      </c>
      <c r="H1" s="5" t="s">
        <v>33</v>
      </c>
      <c r="I1" s="5" t="s">
        <v>34</v>
      </c>
      <c r="J1" s="5" t="s">
        <v>1331</v>
      </c>
      <c r="K1" s="5" t="s">
        <v>11</v>
      </c>
    </row>
    <row r="2" spans="1:12">
      <c r="A2" s="6" t="s">
        <v>1332</v>
      </c>
      <c r="B2" s="6" t="s">
        <v>1333</v>
      </c>
      <c r="C2" s="6">
        <v>1</v>
      </c>
      <c r="D2" s="6" t="s">
        <v>1041</v>
      </c>
      <c r="E2" s="6" t="s">
        <v>41</v>
      </c>
      <c r="F2" s="6">
        <v>-1</v>
      </c>
      <c r="G2" s="6" t="s">
        <v>793</v>
      </c>
      <c r="H2" s="6"/>
      <c r="I2" s="6"/>
      <c r="J2" s="6"/>
      <c r="K2" s="6"/>
      <c r="L2" s="6"/>
    </row>
    <row r="3" spans="1:12">
      <c r="A3" s="6" t="s">
        <v>1049</v>
      </c>
      <c r="B3" s="6" t="s">
        <v>1334</v>
      </c>
      <c r="C3" s="6">
        <v>1</v>
      </c>
      <c r="D3" s="6" t="s">
        <v>1041</v>
      </c>
      <c r="E3" s="6" t="s">
        <v>837</v>
      </c>
      <c r="F3" s="6">
        <v>-1</v>
      </c>
      <c r="G3" s="6" t="s">
        <v>793</v>
      </c>
      <c r="H3" s="6"/>
      <c r="I3" s="6"/>
      <c r="J3" s="6"/>
      <c r="K3" s="6"/>
      <c r="L3" s="6"/>
    </row>
    <row r="4" spans="1:12">
      <c r="A4" s="6" t="s">
        <v>1047</v>
      </c>
      <c r="B4" s="6" t="s">
        <v>1334</v>
      </c>
      <c r="C4" s="6">
        <v>1</v>
      </c>
      <c r="D4" s="6" t="s">
        <v>1041</v>
      </c>
      <c r="E4" s="6" t="s">
        <v>47</v>
      </c>
      <c r="F4" s="6">
        <v>-1</v>
      </c>
      <c r="G4" s="6" t="s">
        <v>793</v>
      </c>
      <c r="H4" s="6"/>
      <c r="I4" s="6"/>
      <c r="J4" s="6"/>
      <c r="K4" s="6"/>
      <c r="L4" s="6"/>
    </row>
    <row r="5" spans="1:12">
      <c r="A5" s="6" t="s">
        <v>1040</v>
      </c>
      <c r="B5" s="6" t="s">
        <v>1334</v>
      </c>
      <c r="C5" s="6">
        <v>1</v>
      </c>
      <c r="D5" s="6" t="s">
        <v>1041</v>
      </c>
      <c r="E5" s="6" t="s">
        <v>46</v>
      </c>
      <c r="F5" s="6">
        <v>-1</v>
      </c>
      <c r="G5" s="6" t="s">
        <v>793</v>
      </c>
      <c r="H5" s="6"/>
      <c r="I5" s="6"/>
      <c r="J5" s="6"/>
      <c r="K5" s="6"/>
      <c r="L5" s="6"/>
    </row>
    <row r="6" spans="1:12">
      <c r="A6" s="6" t="s">
        <v>1007</v>
      </c>
      <c r="B6" s="6" t="s">
        <v>1334</v>
      </c>
      <c r="C6" s="6">
        <v>1</v>
      </c>
      <c r="D6" s="6" t="s">
        <v>1041</v>
      </c>
      <c r="E6" s="6" t="s">
        <v>46</v>
      </c>
      <c r="F6" s="6">
        <v>-1</v>
      </c>
      <c r="G6" s="6" t="s">
        <v>793</v>
      </c>
      <c r="H6" s="6"/>
      <c r="I6" s="6"/>
      <c r="J6" s="6"/>
      <c r="K6" s="6"/>
      <c r="L6" s="6"/>
    </row>
    <row r="7" spans="1:12">
      <c r="A7" s="6" t="s">
        <v>1005</v>
      </c>
      <c r="B7" s="6" t="s">
        <v>1334</v>
      </c>
      <c r="C7" s="6">
        <v>1</v>
      </c>
      <c r="D7" s="6" t="s">
        <v>1041</v>
      </c>
      <c r="E7" s="6" t="s">
        <v>46</v>
      </c>
      <c r="F7" s="6">
        <v>-1</v>
      </c>
      <c r="G7" s="6" t="s">
        <v>793</v>
      </c>
      <c r="H7" s="6"/>
      <c r="I7" s="6"/>
      <c r="J7" s="6"/>
      <c r="K7" s="6"/>
      <c r="L7" s="6"/>
    </row>
    <row r="8" spans="1:12">
      <c r="A8" s="6" t="s">
        <v>1018</v>
      </c>
      <c r="B8" s="6" t="s">
        <v>1334</v>
      </c>
      <c r="C8" s="6">
        <v>1</v>
      </c>
      <c r="D8" s="6" t="s">
        <v>1041</v>
      </c>
      <c r="E8" s="6" t="s">
        <v>46</v>
      </c>
      <c r="F8" s="6">
        <v>-1</v>
      </c>
      <c r="G8" s="6" t="s">
        <v>793</v>
      </c>
      <c r="H8" s="6"/>
      <c r="I8" s="6"/>
      <c r="J8" s="6"/>
      <c r="K8" s="6"/>
      <c r="L8" s="6"/>
    </row>
    <row r="9" spans="1:12">
      <c r="A9" s="6" t="s">
        <v>1058</v>
      </c>
      <c r="B9" s="6" t="s">
        <v>1334</v>
      </c>
      <c r="C9" s="6">
        <v>1</v>
      </c>
      <c r="D9" s="6" t="s">
        <v>1041</v>
      </c>
      <c r="E9" s="6" t="s">
        <v>45</v>
      </c>
      <c r="F9" s="6">
        <v>-1</v>
      </c>
      <c r="G9" s="6" t="s">
        <v>793</v>
      </c>
      <c r="H9" s="6"/>
      <c r="I9" s="6"/>
      <c r="J9" s="6"/>
      <c r="K9" s="6"/>
      <c r="L9" s="6"/>
    </row>
    <row r="10" s="6" customFormat="1" ht="11.5" spans="1:7">
      <c r="A10" s="6" t="s">
        <v>1252</v>
      </c>
      <c r="B10" s="6" t="s">
        <v>1334</v>
      </c>
      <c r="C10" s="6">
        <v>1</v>
      </c>
      <c r="D10" s="6" t="s">
        <v>1041</v>
      </c>
      <c r="E10" s="6" t="s">
        <v>45</v>
      </c>
      <c r="F10" s="6">
        <v>-1</v>
      </c>
      <c r="G10" s="6" t="s">
        <v>793</v>
      </c>
    </row>
    <row r="11" s="6" customFormat="1" ht="11.5" spans="1:7">
      <c r="A11" s="6" t="s">
        <v>1235</v>
      </c>
      <c r="B11" s="6" t="s">
        <v>1334</v>
      </c>
      <c r="C11" s="6">
        <v>1</v>
      </c>
      <c r="D11" s="6" t="s">
        <v>1041</v>
      </c>
      <c r="E11" s="6" t="s">
        <v>45</v>
      </c>
      <c r="F11" s="6">
        <v>-1</v>
      </c>
      <c r="G11" s="6" t="s">
        <v>793</v>
      </c>
    </row>
    <row r="12" s="6" customFormat="1" ht="11.5" spans="1:7">
      <c r="A12" s="6" t="s">
        <v>1237</v>
      </c>
      <c r="B12" s="6" t="s">
        <v>1334</v>
      </c>
      <c r="C12" s="6">
        <v>1</v>
      </c>
      <c r="D12" s="6" t="s">
        <v>1041</v>
      </c>
      <c r="E12" s="6" t="s">
        <v>45</v>
      </c>
      <c r="F12" s="6">
        <v>-1</v>
      </c>
      <c r="G12" s="6" t="s">
        <v>793</v>
      </c>
    </row>
    <row r="13" s="6" customFormat="1" ht="11.5" spans="1:7">
      <c r="A13" s="6" t="s">
        <v>1239</v>
      </c>
      <c r="B13" s="6" t="s">
        <v>1334</v>
      </c>
      <c r="C13" s="6">
        <v>1</v>
      </c>
      <c r="D13" s="6" t="s">
        <v>1041</v>
      </c>
      <c r="E13" s="6" t="s">
        <v>45</v>
      </c>
      <c r="F13" s="6">
        <v>-1</v>
      </c>
      <c r="G13" s="6" t="s">
        <v>793</v>
      </c>
    </row>
    <row r="14" ht="12" customHeight="1" spans="1:12">
      <c r="A14" s="6" t="s">
        <v>1209</v>
      </c>
      <c r="B14" s="6" t="s">
        <v>1334</v>
      </c>
      <c r="C14" s="6">
        <v>1</v>
      </c>
      <c r="D14" s="6" t="s">
        <v>1041</v>
      </c>
      <c r="E14" s="6" t="s">
        <v>45</v>
      </c>
      <c r="F14" s="6">
        <v>-1</v>
      </c>
      <c r="G14" s="6" t="s">
        <v>793</v>
      </c>
      <c r="H14" s="6"/>
      <c r="I14" s="6"/>
      <c r="J14" s="6"/>
      <c r="K14" s="6"/>
      <c r="L14" s="6"/>
    </row>
    <row r="15" ht="12" customHeight="1" spans="1:12">
      <c r="A15" s="6" t="s">
        <v>1211</v>
      </c>
      <c r="B15" s="6" t="s">
        <v>1334</v>
      </c>
      <c r="C15" s="6">
        <v>1</v>
      </c>
      <c r="D15" s="6" t="s">
        <v>1041</v>
      </c>
      <c r="E15" s="6" t="s">
        <v>45</v>
      </c>
      <c r="F15" s="6">
        <v>-1</v>
      </c>
      <c r="G15" s="6" t="s">
        <v>793</v>
      </c>
      <c r="H15" s="6"/>
      <c r="I15" s="6"/>
      <c r="J15" s="6"/>
      <c r="K15" s="6"/>
      <c r="L15" s="6"/>
    </row>
    <row r="16" s="6" customFormat="1" ht="11.5" spans="1:7">
      <c r="A16" s="6" t="s">
        <v>1335</v>
      </c>
      <c r="B16" s="6" t="s">
        <v>1336</v>
      </c>
      <c r="C16" s="6">
        <v>1</v>
      </c>
      <c r="D16" s="6" t="s">
        <v>1041</v>
      </c>
      <c r="E16" s="6" t="s">
        <v>45</v>
      </c>
      <c r="F16" s="6">
        <v>-1</v>
      </c>
      <c r="G16" s="6" t="s">
        <v>793</v>
      </c>
    </row>
    <row r="17" s="6" customFormat="1" ht="11.5" spans="1:7">
      <c r="A17" s="6" t="s">
        <v>1337</v>
      </c>
      <c r="B17" s="6" t="s">
        <v>1336</v>
      </c>
      <c r="C17" s="6">
        <v>1</v>
      </c>
      <c r="D17" s="6" t="s">
        <v>1041</v>
      </c>
      <c r="E17" s="6" t="s">
        <v>45</v>
      </c>
      <c r="F17" s="6">
        <v>-1</v>
      </c>
      <c r="G17" s="6" t="s">
        <v>793</v>
      </c>
    </row>
    <row r="18" s="6" customFormat="1" ht="11.5" spans="1:7">
      <c r="A18" s="6" t="s">
        <v>1338</v>
      </c>
      <c r="B18" s="6" t="s">
        <v>1336</v>
      </c>
      <c r="C18" s="6">
        <v>1</v>
      </c>
      <c r="D18" s="6" t="s">
        <v>1041</v>
      </c>
      <c r="E18" s="6" t="s">
        <v>45</v>
      </c>
      <c r="F18" s="6">
        <v>-1</v>
      </c>
      <c r="G18" s="6" t="s">
        <v>793</v>
      </c>
    </row>
    <row r="19" s="6" customFormat="1" ht="11.5" spans="1:7">
      <c r="A19" s="6" t="s">
        <v>950</v>
      </c>
      <c r="B19" s="6" t="s">
        <v>1336</v>
      </c>
      <c r="C19" s="6">
        <v>1</v>
      </c>
      <c r="D19" s="6" t="s">
        <v>1041</v>
      </c>
      <c r="E19" s="6" t="s">
        <v>45</v>
      </c>
      <c r="F19" s="6">
        <v>-1</v>
      </c>
      <c r="G19" s="6" t="s">
        <v>793</v>
      </c>
    </row>
    <row r="20" s="6" customFormat="1" ht="11.5" spans="1:7">
      <c r="A20" s="6" t="s">
        <v>954</v>
      </c>
      <c r="B20" s="6" t="s">
        <v>1336</v>
      </c>
      <c r="C20" s="6">
        <v>1</v>
      </c>
      <c r="D20" s="6" t="s">
        <v>1041</v>
      </c>
      <c r="E20" s="6" t="s">
        <v>45</v>
      </c>
      <c r="F20" s="6">
        <v>-1</v>
      </c>
      <c r="G20" s="6" t="s">
        <v>793</v>
      </c>
    </row>
    <row r="21" s="6" customFormat="1" ht="11.5" spans="1:7">
      <c r="A21" s="6" t="s">
        <v>908</v>
      </c>
      <c r="B21" s="6" t="s">
        <v>1336</v>
      </c>
      <c r="C21" s="6">
        <v>1</v>
      </c>
      <c r="D21" s="6" t="s">
        <v>1041</v>
      </c>
      <c r="E21" s="6" t="s">
        <v>45</v>
      </c>
      <c r="F21" s="6">
        <v>-1</v>
      </c>
      <c r="G21" s="6" t="s">
        <v>793</v>
      </c>
    </row>
    <row r="22" s="6" customFormat="1" ht="11.5" spans="1:7">
      <c r="A22" s="6" t="s">
        <v>868</v>
      </c>
      <c r="B22" s="6" t="s">
        <v>1336</v>
      </c>
      <c r="C22" s="6">
        <v>1</v>
      </c>
      <c r="D22" s="6" t="s">
        <v>1041</v>
      </c>
      <c r="E22" s="6" t="s">
        <v>45</v>
      </c>
      <c r="F22" s="6">
        <v>-1</v>
      </c>
      <c r="G22" s="6" t="s">
        <v>793</v>
      </c>
    </row>
    <row r="23" s="6" customFormat="1" ht="11.5" spans="1:7">
      <c r="A23" s="6" t="s">
        <v>916</v>
      </c>
      <c r="B23" s="6" t="s">
        <v>1336</v>
      </c>
      <c r="C23" s="6">
        <v>1</v>
      </c>
      <c r="D23" s="6" t="s">
        <v>1041</v>
      </c>
      <c r="E23" s="6" t="s">
        <v>38</v>
      </c>
      <c r="F23" s="6">
        <v>-1</v>
      </c>
      <c r="G23" s="6" t="s">
        <v>793</v>
      </c>
    </row>
    <row r="24" s="6" customFormat="1" ht="11.5" spans="1:7">
      <c r="A24" s="6" t="s">
        <v>898</v>
      </c>
      <c r="B24" s="6" t="s">
        <v>1336</v>
      </c>
      <c r="C24" s="6">
        <v>1</v>
      </c>
      <c r="D24" s="6" t="s">
        <v>1041</v>
      </c>
      <c r="E24" s="6" t="s">
        <v>45</v>
      </c>
      <c r="F24" s="6">
        <v>-1</v>
      </c>
      <c r="G24" s="6" t="s">
        <v>793</v>
      </c>
    </row>
    <row r="25" s="6" customFormat="1" ht="11.5" spans="1:7">
      <c r="A25" s="6" t="s">
        <v>990</v>
      </c>
      <c r="B25" s="6" t="s">
        <v>1336</v>
      </c>
      <c r="C25" s="6">
        <v>1</v>
      </c>
      <c r="D25" s="6" t="s">
        <v>1041</v>
      </c>
      <c r="E25" s="6" t="s">
        <v>45</v>
      </c>
      <c r="F25" s="6">
        <v>-1</v>
      </c>
      <c r="G25" s="6" t="s">
        <v>793</v>
      </c>
    </row>
    <row r="26" s="6" customFormat="1" ht="11.5" spans="1:7">
      <c r="A26" s="6" t="s">
        <v>988</v>
      </c>
      <c r="B26" s="6" t="s">
        <v>1336</v>
      </c>
      <c r="C26" s="6">
        <v>1</v>
      </c>
      <c r="D26" s="6" t="s">
        <v>1041</v>
      </c>
      <c r="E26" s="6" t="s">
        <v>45</v>
      </c>
      <c r="F26" s="6">
        <v>-1</v>
      </c>
      <c r="G26" s="6" t="s">
        <v>793</v>
      </c>
    </row>
    <row r="27" s="6" customFormat="1" ht="11.5" spans="1:7">
      <c r="A27" s="6" t="s">
        <v>972</v>
      </c>
      <c r="B27" s="6" t="s">
        <v>1336</v>
      </c>
      <c r="C27" s="6">
        <v>1</v>
      </c>
      <c r="D27" s="6" t="s">
        <v>1041</v>
      </c>
      <c r="E27" s="6" t="s">
        <v>45</v>
      </c>
      <c r="F27" s="6">
        <v>-1</v>
      </c>
      <c r="G27" s="6" t="s">
        <v>793</v>
      </c>
    </row>
    <row r="28" s="6" customFormat="1" ht="11.5" spans="1:7">
      <c r="A28" s="6" t="s">
        <v>886</v>
      </c>
      <c r="B28" s="6" t="s">
        <v>1336</v>
      </c>
      <c r="C28" s="6">
        <v>1</v>
      </c>
      <c r="D28" s="6" t="s">
        <v>1041</v>
      </c>
      <c r="E28" s="6" t="s">
        <v>45</v>
      </c>
      <c r="F28" s="6">
        <v>-1</v>
      </c>
      <c r="G28" s="6" t="s">
        <v>793</v>
      </c>
    </row>
    <row r="29" s="6" customFormat="1" ht="11.5" spans="1:7">
      <c r="A29" s="6" t="s">
        <v>1225</v>
      </c>
      <c r="B29" s="6" t="s">
        <v>1336</v>
      </c>
      <c r="C29" s="6">
        <v>1</v>
      </c>
      <c r="D29" s="6" t="s">
        <v>1041</v>
      </c>
      <c r="E29" s="6" t="s">
        <v>46</v>
      </c>
      <c r="F29" s="6">
        <v>-1</v>
      </c>
      <c r="G29" s="6" t="s">
        <v>793</v>
      </c>
    </row>
    <row r="30" s="6" customFormat="1" ht="11.5" spans="1:7">
      <c r="A30" s="6" t="s">
        <v>957</v>
      </c>
      <c r="B30" s="6" t="s">
        <v>1336</v>
      </c>
      <c r="C30" s="6">
        <v>1</v>
      </c>
      <c r="D30" s="6" t="s">
        <v>1041</v>
      </c>
      <c r="E30" s="6" t="s">
        <v>38</v>
      </c>
      <c r="F30" s="6">
        <v>-1</v>
      </c>
      <c r="G30" s="6" t="s">
        <v>793</v>
      </c>
    </row>
    <row r="31" s="6" customFormat="1" ht="11.5" spans="1:7">
      <c r="A31" s="6" t="s">
        <v>872</v>
      </c>
      <c r="B31" s="6" t="s">
        <v>1336</v>
      </c>
      <c r="C31" s="6">
        <v>1</v>
      </c>
      <c r="D31" s="6" t="s">
        <v>1041</v>
      </c>
      <c r="E31" s="6" t="s">
        <v>45</v>
      </c>
      <c r="F31" s="6">
        <v>-1</v>
      </c>
      <c r="G31" s="6" t="s">
        <v>793</v>
      </c>
    </row>
    <row r="32" s="6" customFormat="1" ht="11.5" spans="1:7">
      <c r="A32" s="6" t="s">
        <v>874</v>
      </c>
      <c r="B32" s="6" t="s">
        <v>1336</v>
      </c>
      <c r="C32" s="6">
        <v>1</v>
      </c>
      <c r="D32" s="6" t="s">
        <v>1041</v>
      </c>
      <c r="E32" s="6" t="s">
        <v>45</v>
      </c>
      <c r="F32" s="6">
        <v>-1</v>
      </c>
      <c r="G32" s="6" t="s">
        <v>793</v>
      </c>
    </row>
    <row r="33" s="6" customFormat="1" ht="11.5" spans="1:7">
      <c r="A33" s="6" t="s">
        <v>894</v>
      </c>
      <c r="B33" s="6" t="s">
        <v>1336</v>
      </c>
      <c r="C33" s="6">
        <v>1</v>
      </c>
      <c r="D33" s="6" t="s">
        <v>1041</v>
      </c>
      <c r="E33" s="6" t="s">
        <v>45</v>
      </c>
      <c r="F33" s="6">
        <v>-1</v>
      </c>
      <c r="G33" s="6" t="s">
        <v>793</v>
      </c>
    </row>
    <row r="34" s="6" customFormat="1" ht="11.5" spans="1:7">
      <c r="A34" s="6" t="s">
        <v>1093</v>
      </c>
      <c r="B34" s="6" t="s">
        <v>1336</v>
      </c>
      <c r="C34" s="6">
        <v>1</v>
      </c>
      <c r="D34" s="6" t="s">
        <v>1041</v>
      </c>
      <c r="E34" s="6" t="s">
        <v>45</v>
      </c>
      <c r="F34" s="6">
        <v>-1</v>
      </c>
      <c r="G34" s="6" t="s">
        <v>793</v>
      </c>
    </row>
    <row r="35" s="6" customFormat="1" ht="11.5" spans="1:7">
      <c r="A35" s="6" t="s">
        <v>1339</v>
      </c>
      <c r="B35" s="6" t="s">
        <v>1340</v>
      </c>
      <c r="C35" s="6">
        <v>1</v>
      </c>
      <c r="D35" s="6" t="s">
        <v>1041</v>
      </c>
      <c r="E35" s="6" t="s">
        <v>45</v>
      </c>
      <c r="F35" s="6">
        <v>-1</v>
      </c>
      <c r="G35" s="6" t="s">
        <v>793</v>
      </c>
    </row>
    <row r="36" spans="1:12">
      <c r="A36" s="6" t="s">
        <v>1221</v>
      </c>
      <c r="B36" s="6" t="s">
        <v>1340</v>
      </c>
      <c r="C36" s="6">
        <v>1</v>
      </c>
      <c r="D36" s="6" t="s">
        <v>1041</v>
      </c>
      <c r="E36" s="6" t="s">
        <v>46</v>
      </c>
      <c r="F36" s="6">
        <v>-1</v>
      </c>
      <c r="G36" s="6" t="s">
        <v>793</v>
      </c>
      <c r="H36" s="6"/>
      <c r="I36" s="6"/>
      <c r="J36" s="6"/>
      <c r="K36" s="6"/>
      <c r="L36" s="6"/>
    </row>
    <row r="37" s="6" customFormat="1" ht="11.5" spans="1:7">
      <c r="A37" s="6" t="s">
        <v>1223</v>
      </c>
      <c r="B37" s="6" t="s">
        <v>1340</v>
      </c>
      <c r="C37" s="6">
        <v>1</v>
      </c>
      <c r="D37" s="6" t="s">
        <v>1041</v>
      </c>
      <c r="E37" s="6" t="s">
        <v>38</v>
      </c>
      <c r="F37" s="6">
        <v>-1</v>
      </c>
      <c r="G37" s="6" t="s">
        <v>793</v>
      </c>
    </row>
    <row r="38" s="6" customFormat="1" ht="11.5" spans="1:7">
      <c r="A38" s="6" t="s">
        <v>1051</v>
      </c>
      <c r="B38" s="6" t="s">
        <v>1340</v>
      </c>
      <c r="C38" s="6">
        <v>1</v>
      </c>
      <c r="D38" s="6" t="s">
        <v>1041</v>
      </c>
      <c r="E38" s="6" t="s">
        <v>53</v>
      </c>
      <c r="F38" s="6">
        <v>-1</v>
      </c>
      <c r="G38" s="6" t="s">
        <v>793</v>
      </c>
    </row>
    <row r="39" s="6" customFormat="1" ht="11.5" spans="1:7">
      <c r="A39" s="6" t="s">
        <v>1055</v>
      </c>
      <c r="B39" s="6" t="s">
        <v>1340</v>
      </c>
      <c r="C39" s="6">
        <v>1</v>
      </c>
      <c r="D39" s="6" t="s">
        <v>1041</v>
      </c>
      <c r="E39" s="6" t="s">
        <v>53</v>
      </c>
      <c r="F39" s="6">
        <v>-1</v>
      </c>
      <c r="G39" s="6" t="s">
        <v>793</v>
      </c>
    </row>
    <row r="40" s="6" customFormat="1" ht="11.5" spans="1:7">
      <c r="A40" s="6" t="s">
        <v>1016</v>
      </c>
      <c r="B40" s="6" t="s">
        <v>1340</v>
      </c>
      <c r="C40" s="6">
        <v>1</v>
      </c>
      <c r="D40" s="6" t="s">
        <v>1041</v>
      </c>
      <c r="E40" s="6" t="s">
        <v>46</v>
      </c>
      <c r="F40" s="6">
        <v>-1</v>
      </c>
      <c r="G40" s="6" t="s">
        <v>793</v>
      </c>
    </row>
    <row r="41" s="6" customFormat="1" ht="11.5" spans="1:7">
      <c r="A41" s="6" t="s">
        <v>1014</v>
      </c>
      <c r="B41" s="6" t="s">
        <v>1340</v>
      </c>
      <c r="C41" s="6">
        <v>1</v>
      </c>
      <c r="D41" s="6" t="s">
        <v>1041</v>
      </c>
      <c r="E41" s="6" t="s">
        <v>46</v>
      </c>
      <c r="F41" s="6">
        <v>-1</v>
      </c>
      <c r="G41" s="6" t="s">
        <v>793</v>
      </c>
    </row>
    <row r="42" spans="1:11">
      <c r="A42" s="6" t="s">
        <v>1341</v>
      </c>
      <c r="B42" s="6" t="s">
        <v>1342</v>
      </c>
      <c r="C42" s="6">
        <v>1</v>
      </c>
      <c r="D42" s="6" t="s">
        <v>1041</v>
      </c>
      <c r="E42" s="6" t="s">
        <v>45</v>
      </c>
      <c r="F42" s="6">
        <v>-1</v>
      </c>
      <c r="G42" s="6" t="s">
        <v>793</v>
      </c>
      <c r="H42" s="6"/>
      <c r="I42" s="6"/>
      <c r="J42" s="6"/>
      <c r="K42" s="6"/>
    </row>
    <row r="43" spans="1:11">
      <c r="A43" s="6" t="s">
        <v>1343</v>
      </c>
      <c r="B43" s="6" t="s">
        <v>1342</v>
      </c>
      <c r="C43" s="6">
        <v>1</v>
      </c>
      <c r="D43" s="6" t="s">
        <v>1041</v>
      </c>
      <c r="E43" s="6" t="s">
        <v>45</v>
      </c>
      <c r="F43" s="6">
        <v>-1</v>
      </c>
      <c r="G43" s="6" t="s">
        <v>793</v>
      </c>
      <c r="H43" s="6"/>
      <c r="I43" s="6"/>
      <c r="J43" s="6"/>
      <c r="K43" s="6"/>
    </row>
    <row r="44" spans="1:11">
      <c r="A44" s="6" t="s">
        <v>1342</v>
      </c>
      <c r="B44" s="6" t="s">
        <v>1344</v>
      </c>
      <c r="C44" s="6">
        <v>1</v>
      </c>
      <c r="D44" s="6" t="s">
        <v>1041</v>
      </c>
      <c r="E44" s="6" t="s">
        <v>1345</v>
      </c>
      <c r="F44" s="6">
        <v>-1</v>
      </c>
      <c r="G44" s="6" t="s">
        <v>793</v>
      </c>
      <c r="H44" s="6"/>
      <c r="I44" s="6"/>
      <c r="J44" s="6"/>
      <c r="K44" s="6"/>
    </row>
    <row r="45" spans="1:11">
      <c r="A45" s="6" t="s">
        <v>1346</v>
      </c>
      <c r="B45" s="6" t="s">
        <v>1344</v>
      </c>
      <c r="C45" s="6">
        <v>1</v>
      </c>
      <c r="D45" s="6" t="s">
        <v>1041</v>
      </c>
      <c r="E45" s="6" t="s">
        <v>45</v>
      </c>
      <c r="F45" s="6">
        <v>-1</v>
      </c>
      <c r="G45" s="6" t="s">
        <v>793</v>
      </c>
      <c r="H45" s="6"/>
      <c r="I45" s="6"/>
      <c r="J45" s="6"/>
      <c r="K45" s="6"/>
    </row>
    <row r="46" spans="1:11">
      <c r="A46" s="6" t="s">
        <v>1344</v>
      </c>
      <c r="B46" s="6" t="s">
        <v>1347</v>
      </c>
      <c r="C46" s="6">
        <v>1</v>
      </c>
      <c r="D46" s="6" t="s">
        <v>1041</v>
      </c>
      <c r="E46" s="6" t="s">
        <v>1348</v>
      </c>
      <c r="F46" s="6">
        <v>-1</v>
      </c>
      <c r="G46" s="6" t="s">
        <v>793</v>
      </c>
      <c r="H46" s="6"/>
      <c r="I46" s="6"/>
      <c r="J46" s="6"/>
      <c r="K46" s="6"/>
    </row>
    <row r="47" spans="1:11">
      <c r="A47" s="6" t="s">
        <v>1349</v>
      </c>
      <c r="B47" s="6" t="s">
        <v>1347</v>
      </c>
      <c r="C47" s="6">
        <v>1</v>
      </c>
      <c r="D47" s="6" t="s">
        <v>1041</v>
      </c>
      <c r="E47" s="6" t="s">
        <v>45</v>
      </c>
      <c r="F47" s="6">
        <v>-1</v>
      </c>
      <c r="G47" s="6" t="s">
        <v>793</v>
      </c>
      <c r="H47" s="6"/>
      <c r="I47" s="6"/>
      <c r="J47" s="6"/>
      <c r="K47" s="6"/>
    </row>
    <row r="48" spans="1:11">
      <c r="A48" s="6" t="s">
        <v>1350</v>
      </c>
      <c r="B48" s="6" t="s">
        <v>1347</v>
      </c>
      <c r="C48" s="6">
        <v>1</v>
      </c>
      <c r="D48" s="6" t="s">
        <v>1041</v>
      </c>
      <c r="E48" s="6" t="s">
        <v>45</v>
      </c>
      <c r="F48" s="6">
        <v>-1</v>
      </c>
      <c r="G48" s="6" t="s">
        <v>793</v>
      </c>
      <c r="H48" s="6"/>
      <c r="I48" s="6"/>
      <c r="J48" s="6"/>
      <c r="K48" s="6"/>
    </row>
    <row r="49" spans="1:11">
      <c r="A49" s="6" t="s">
        <v>1351</v>
      </c>
      <c r="B49" s="6" t="s">
        <v>1347</v>
      </c>
      <c r="C49" s="6">
        <v>1</v>
      </c>
      <c r="D49" s="6" t="s">
        <v>1041</v>
      </c>
      <c r="E49" s="6" t="s">
        <v>45</v>
      </c>
      <c r="F49" s="6">
        <v>-1</v>
      </c>
      <c r="G49" s="6" t="s">
        <v>793</v>
      </c>
      <c r="H49" s="6"/>
      <c r="I49" s="6"/>
      <c r="J49" s="6"/>
      <c r="K49" s="6"/>
    </row>
    <row r="50" spans="1:11">
      <c r="A50" s="6" t="s">
        <v>1352</v>
      </c>
      <c r="B50" s="6" t="s">
        <v>1353</v>
      </c>
      <c r="C50" s="6">
        <v>1</v>
      </c>
      <c r="D50" s="6" t="s">
        <v>1041</v>
      </c>
      <c r="E50" s="6" t="s">
        <v>46</v>
      </c>
      <c r="F50" s="6">
        <v>-1</v>
      </c>
      <c r="G50" s="6" t="s">
        <v>793</v>
      </c>
      <c r="H50" s="6"/>
      <c r="I50" s="6"/>
      <c r="J50" s="6"/>
      <c r="K50" s="6"/>
    </row>
    <row r="51" spans="1:11">
      <c r="A51" s="6" t="s">
        <v>1354</v>
      </c>
      <c r="B51" s="6" t="s">
        <v>1355</v>
      </c>
      <c r="C51" s="6">
        <v>1</v>
      </c>
      <c r="D51" s="6" t="s">
        <v>1041</v>
      </c>
      <c r="E51" s="6" t="s">
        <v>45</v>
      </c>
      <c r="F51" s="6">
        <v>-1</v>
      </c>
      <c r="G51" s="6" t="s">
        <v>793</v>
      </c>
      <c r="H51" s="6"/>
      <c r="I51" s="6"/>
      <c r="J51" s="6"/>
      <c r="K51" s="6"/>
    </row>
    <row r="52" spans="1:11">
      <c r="A52" s="6" t="s">
        <v>1356</v>
      </c>
      <c r="B52" s="6" t="s">
        <v>1355</v>
      </c>
      <c r="C52" s="6">
        <v>1</v>
      </c>
      <c r="D52" s="6" t="s">
        <v>1041</v>
      </c>
      <c r="E52" s="6" t="s">
        <v>45</v>
      </c>
      <c r="F52" s="6">
        <v>-1</v>
      </c>
      <c r="G52" s="6" t="s">
        <v>793</v>
      </c>
      <c r="H52" s="6"/>
      <c r="I52" s="6"/>
      <c r="J52" s="6"/>
      <c r="K52" s="6"/>
    </row>
    <row r="53" spans="1:11">
      <c r="A53" s="6" t="s">
        <v>1357</v>
      </c>
      <c r="B53" s="6" t="s">
        <v>1355</v>
      </c>
      <c r="C53" s="6">
        <v>1</v>
      </c>
      <c r="D53" s="6" t="s">
        <v>1041</v>
      </c>
      <c r="E53" s="6" t="s">
        <v>45</v>
      </c>
      <c r="F53" s="6">
        <v>-1</v>
      </c>
      <c r="G53" s="6" t="s">
        <v>793</v>
      </c>
      <c r="H53" s="6"/>
      <c r="I53" s="6"/>
      <c r="J53" s="6"/>
      <c r="K53" s="6"/>
    </row>
    <row r="54" spans="1:11">
      <c r="A54" s="6" t="s">
        <v>1358</v>
      </c>
      <c r="B54" s="6" t="s">
        <v>1355</v>
      </c>
      <c r="C54" s="6">
        <v>1</v>
      </c>
      <c r="D54" s="6" t="s">
        <v>1041</v>
      </c>
      <c r="E54" s="6" t="s">
        <v>45</v>
      </c>
      <c r="F54" s="6">
        <v>-1</v>
      </c>
      <c r="G54" s="6" t="s">
        <v>793</v>
      </c>
      <c r="H54" s="6"/>
      <c r="I54" s="6"/>
      <c r="J54" s="6"/>
      <c r="K54" s="6"/>
    </row>
    <row r="55" spans="1:11">
      <c r="A55" s="6" t="s">
        <v>1359</v>
      </c>
      <c r="B55" s="6" t="s">
        <v>1355</v>
      </c>
      <c r="C55" s="6">
        <v>1</v>
      </c>
      <c r="D55" s="6" t="s">
        <v>1041</v>
      </c>
      <c r="E55" s="6" t="s">
        <v>45</v>
      </c>
      <c r="F55" s="6">
        <v>-1</v>
      </c>
      <c r="G55" s="6" t="s">
        <v>793</v>
      </c>
      <c r="H55" s="6"/>
      <c r="I55" s="6"/>
      <c r="J55" s="6"/>
      <c r="K55" s="6"/>
    </row>
    <row r="56" spans="1:11">
      <c r="A56" s="6" t="s">
        <v>1360</v>
      </c>
      <c r="B56" s="6" t="s">
        <v>1355</v>
      </c>
      <c r="C56" s="6">
        <v>1</v>
      </c>
      <c r="D56" s="6" t="s">
        <v>1041</v>
      </c>
      <c r="E56" s="6" t="s">
        <v>45</v>
      </c>
      <c r="F56" s="6">
        <v>-1</v>
      </c>
      <c r="G56" s="6" t="s">
        <v>793</v>
      </c>
      <c r="H56" s="6"/>
      <c r="I56" s="6"/>
      <c r="J56" s="6"/>
      <c r="K56" s="6"/>
    </row>
    <row r="57" spans="1:11">
      <c r="A57" s="6" t="s">
        <v>1361</v>
      </c>
      <c r="B57" s="6" t="s">
        <v>1362</v>
      </c>
      <c r="C57" s="6">
        <v>1</v>
      </c>
      <c r="D57" s="6" t="s">
        <v>1041</v>
      </c>
      <c r="E57" s="6" t="s">
        <v>45</v>
      </c>
      <c r="F57" s="6">
        <v>-1</v>
      </c>
      <c r="G57" s="6" t="s">
        <v>793</v>
      </c>
      <c r="H57" s="6"/>
      <c r="I57" s="6"/>
      <c r="J57" s="6"/>
      <c r="K57" s="6"/>
    </row>
    <row r="58" spans="1:11">
      <c r="A58" s="6" t="s">
        <v>1363</v>
      </c>
      <c r="B58" s="6" t="s">
        <v>1362</v>
      </c>
      <c r="C58" s="6">
        <v>1</v>
      </c>
      <c r="D58" s="6" t="s">
        <v>1041</v>
      </c>
      <c r="E58" s="6" t="s">
        <v>45</v>
      </c>
      <c r="F58" s="6">
        <v>-1</v>
      </c>
      <c r="G58" s="6" t="s">
        <v>793</v>
      </c>
      <c r="H58" s="6"/>
      <c r="I58" s="6"/>
      <c r="J58" s="6"/>
      <c r="K58" s="6"/>
    </row>
    <row r="59" spans="1:11">
      <c r="A59" s="6" t="s">
        <v>1364</v>
      </c>
      <c r="B59" s="6" t="s">
        <v>1362</v>
      </c>
      <c r="C59" s="6">
        <v>1</v>
      </c>
      <c r="D59" s="6" t="s">
        <v>1041</v>
      </c>
      <c r="E59" s="6" t="s">
        <v>45</v>
      </c>
      <c r="F59" s="6">
        <v>-1</v>
      </c>
      <c r="G59" s="6" t="s">
        <v>793</v>
      </c>
      <c r="H59" s="6"/>
      <c r="I59" s="6"/>
      <c r="J59" s="6"/>
      <c r="K59" s="6"/>
    </row>
    <row r="60" spans="1:11">
      <c r="A60" s="6" t="s">
        <v>1365</v>
      </c>
      <c r="B60" s="6" t="s">
        <v>1362</v>
      </c>
      <c r="C60" s="6">
        <v>1</v>
      </c>
      <c r="D60" s="6" t="s">
        <v>1041</v>
      </c>
      <c r="E60" s="6" t="s">
        <v>45</v>
      </c>
      <c r="F60" s="6">
        <v>-1</v>
      </c>
      <c r="G60" s="6" t="s">
        <v>793</v>
      </c>
      <c r="H60" s="6"/>
      <c r="I60" s="6"/>
      <c r="J60" s="6"/>
      <c r="K60" s="6"/>
    </row>
    <row r="61" spans="1:11">
      <c r="A61" s="6" t="s">
        <v>1366</v>
      </c>
      <c r="B61" s="6" t="s">
        <v>1362</v>
      </c>
      <c r="C61" s="6">
        <v>1</v>
      </c>
      <c r="D61" s="6" t="s">
        <v>1041</v>
      </c>
      <c r="E61" s="6" t="s">
        <v>45</v>
      </c>
      <c r="F61" s="6">
        <v>-1</v>
      </c>
      <c r="G61" s="6" t="s">
        <v>793</v>
      </c>
      <c r="H61" s="6"/>
      <c r="I61" s="6"/>
      <c r="J61" s="6"/>
      <c r="K61" s="6"/>
    </row>
    <row r="62" spans="1:11">
      <c r="A62" s="6" t="s">
        <v>1367</v>
      </c>
      <c r="B62" s="6" t="s">
        <v>1362</v>
      </c>
      <c r="C62" s="6">
        <v>1</v>
      </c>
      <c r="D62" s="6" t="s">
        <v>1041</v>
      </c>
      <c r="E62" s="6" t="s">
        <v>45</v>
      </c>
      <c r="F62" s="6">
        <v>-1</v>
      </c>
      <c r="G62" s="6" t="s">
        <v>793</v>
      </c>
      <c r="H62" s="6"/>
      <c r="I62" s="6"/>
      <c r="J62" s="6"/>
      <c r="K62" s="6"/>
    </row>
    <row r="63" spans="1:11">
      <c r="A63" s="6" t="s">
        <v>1368</v>
      </c>
      <c r="B63" s="6" t="s">
        <v>1362</v>
      </c>
      <c r="C63" s="6">
        <v>1</v>
      </c>
      <c r="D63" s="6" t="s">
        <v>1041</v>
      </c>
      <c r="E63" s="6" t="s">
        <v>45</v>
      </c>
      <c r="F63" s="6">
        <v>-1</v>
      </c>
      <c r="G63" s="6" t="s">
        <v>793</v>
      </c>
      <c r="H63" s="6"/>
      <c r="I63" s="6"/>
      <c r="J63" s="6"/>
      <c r="K63" s="6"/>
    </row>
    <row r="64" spans="1:11">
      <c r="A64" s="6" t="s">
        <v>1369</v>
      </c>
      <c r="B64" s="6" t="s">
        <v>1370</v>
      </c>
      <c r="C64" s="6">
        <v>1</v>
      </c>
      <c r="D64" s="6" t="s">
        <v>1041</v>
      </c>
      <c r="E64" s="6" t="s">
        <v>45</v>
      </c>
      <c r="F64" s="6">
        <v>-1</v>
      </c>
      <c r="G64" s="6" t="s">
        <v>793</v>
      </c>
      <c r="H64" s="6"/>
      <c r="I64" s="6"/>
      <c r="J64" s="6"/>
      <c r="K64" s="6"/>
    </row>
    <row r="65" spans="1:11">
      <c r="A65" s="6" t="s">
        <v>1371</v>
      </c>
      <c r="B65" s="6" t="s">
        <v>1370</v>
      </c>
      <c r="C65" s="6">
        <v>1</v>
      </c>
      <c r="D65" s="6" t="s">
        <v>1041</v>
      </c>
      <c r="E65" s="6" t="s">
        <v>45</v>
      </c>
      <c r="F65" s="6">
        <v>-1</v>
      </c>
      <c r="G65" s="6" t="s">
        <v>793</v>
      </c>
      <c r="H65" s="6"/>
      <c r="I65" s="6"/>
      <c r="J65" s="6"/>
      <c r="K65" s="6"/>
    </row>
    <row r="66" spans="1:11">
      <c r="A66" s="6" t="s">
        <v>1372</v>
      </c>
      <c r="B66" s="6" t="s">
        <v>1370</v>
      </c>
      <c r="C66" s="6">
        <v>1</v>
      </c>
      <c r="D66" s="6" t="s">
        <v>1041</v>
      </c>
      <c r="E66" s="6" t="s">
        <v>45</v>
      </c>
      <c r="F66" s="6">
        <v>-1</v>
      </c>
      <c r="G66" s="6" t="s">
        <v>793</v>
      </c>
      <c r="H66" s="6"/>
      <c r="I66" s="6"/>
      <c r="J66" s="6"/>
      <c r="K66" s="6"/>
    </row>
    <row r="67" spans="1:11">
      <c r="A67" s="6" t="s">
        <v>1373</v>
      </c>
      <c r="B67" s="6" t="s">
        <v>1370</v>
      </c>
      <c r="C67" s="6">
        <v>1</v>
      </c>
      <c r="D67" s="6" t="s">
        <v>1041</v>
      </c>
      <c r="E67" s="6" t="s">
        <v>45</v>
      </c>
      <c r="F67" s="6">
        <v>-1</v>
      </c>
      <c r="G67" s="6" t="s">
        <v>793</v>
      </c>
      <c r="H67" s="6"/>
      <c r="I67" s="6"/>
      <c r="J67" s="6"/>
      <c r="K67" s="6"/>
    </row>
    <row r="68" spans="1:11">
      <c r="A68" s="6" t="s">
        <v>1374</v>
      </c>
      <c r="B68" s="6" t="s">
        <v>1370</v>
      </c>
      <c r="C68" s="6">
        <v>1</v>
      </c>
      <c r="D68" s="6" t="s">
        <v>1041</v>
      </c>
      <c r="E68" s="6" t="s">
        <v>45</v>
      </c>
      <c r="F68" s="6">
        <v>-1</v>
      </c>
      <c r="G68" s="6" t="s">
        <v>793</v>
      </c>
      <c r="H68" s="6"/>
      <c r="I68" s="6"/>
      <c r="J68" s="6"/>
      <c r="K68" s="6"/>
    </row>
    <row r="69" spans="1:11">
      <c r="A69" s="6" t="s">
        <v>1375</v>
      </c>
      <c r="B69" s="6" t="s">
        <v>1376</v>
      </c>
      <c r="C69" s="6">
        <v>1</v>
      </c>
      <c r="D69" s="6" t="s">
        <v>1041</v>
      </c>
      <c r="E69" s="6" t="s">
        <v>45</v>
      </c>
      <c r="F69" s="6">
        <v>-1</v>
      </c>
      <c r="G69" s="6" t="s">
        <v>793</v>
      </c>
      <c r="H69" s="6"/>
      <c r="I69" s="6"/>
      <c r="J69" s="6"/>
      <c r="K69" s="6"/>
    </row>
    <row r="70" spans="1:11">
      <c r="A70" s="6" t="s">
        <v>1377</v>
      </c>
      <c r="B70" s="6" t="s">
        <v>1376</v>
      </c>
      <c r="C70" s="6">
        <v>1</v>
      </c>
      <c r="D70" s="6" t="s">
        <v>1041</v>
      </c>
      <c r="E70" s="6" t="s">
        <v>45</v>
      </c>
      <c r="F70" s="6">
        <v>-1</v>
      </c>
      <c r="G70" s="6" t="s">
        <v>793</v>
      </c>
      <c r="H70" s="6"/>
      <c r="I70" s="6"/>
      <c r="J70" s="6"/>
      <c r="K70" s="6"/>
    </row>
    <row r="71" spans="1:11">
      <c r="A71" s="6" t="s">
        <v>1378</v>
      </c>
      <c r="B71" s="6" t="s">
        <v>1376</v>
      </c>
      <c r="C71" s="6">
        <v>1</v>
      </c>
      <c r="D71" s="6" t="s">
        <v>1041</v>
      </c>
      <c r="E71" s="6" t="s">
        <v>45</v>
      </c>
      <c r="F71" s="6">
        <v>-1</v>
      </c>
      <c r="G71" s="6" t="s">
        <v>793</v>
      </c>
      <c r="H71" s="6"/>
      <c r="I71" s="6"/>
      <c r="J71" s="6"/>
      <c r="K71" s="6"/>
    </row>
    <row r="72" spans="1:11">
      <c r="A72" s="6" t="s">
        <v>1379</v>
      </c>
      <c r="B72" s="6" t="s">
        <v>1376</v>
      </c>
      <c r="C72" s="6">
        <v>1</v>
      </c>
      <c r="D72" s="6" t="s">
        <v>1041</v>
      </c>
      <c r="E72" s="6" t="s">
        <v>45</v>
      </c>
      <c r="F72" s="6">
        <v>-1</v>
      </c>
      <c r="G72" s="6" t="s">
        <v>793</v>
      </c>
      <c r="H72" s="6"/>
      <c r="I72" s="6"/>
      <c r="J72" s="6"/>
      <c r="K72" s="6"/>
    </row>
    <row r="73" spans="1:11">
      <c r="A73" s="6" t="s">
        <v>1380</v>
      </c>
      <c r="B73" s="6" t="s">
        <v>1376</v>
      </c>
      <c r="C73" s="6">
        <v>1</v>
      </c>
      <c r="D73" s="6" t="s">
        <v>1041</v>
      </c>
      <c r="E73" s="6" t="s">
        <v>45</v>
      </c>
      <c r="F73" s="6">
        <v>-1</v>
      </c>
      <c r="G73" s="6" t="s">
        <v>793</v>
      </c>
      <c r="H73" s="6"/>
      <c r="I73" s="6"/>
      <c r="J73" s="6"/>
      <c r="K73" s="6"/>
    </row>
    <row r="74" spans="1:11">
      <c r="A74" s="6" t="s">
        <v>1381</v>
      </c>
      <c r="B74" s="6" t="s">
        <v>1376</v>
      </c>
      <c r="C74" s="6">
        <v>1</v>
      </c>
      <c r="D74" s="6" t="s">
        <v>1041</v>
      </c>
      <c r="E74" s="6" t="s">
        <v>45</v>
      </c>
      <c r="F74" s="6">
        <v>-1</v>
      </c>
      <c r="G74" s="6" t="s">
        <v>793</v>
      </c>
      <c r="H74" s="6"/>
      <c r="I74" s="6"/>
      <c r="J74" s="6"/>
      <c r="K74" s="6"/>
    </row>
    <row r="75" spans="1:11">
      <c r="A75" s="6" t="s">
        <v>1382</v>
      </c>
      <c r="B75" s="6" t="s">
        <v>1376</v>
      </c>
      <c r="C75" s="6">
        <v>1</v>
      </c>
      <c r="D75" s="6" t="s">
        <v>1041</v>
      </c>
      <c r="E75" s="6" t="s">
        <v>45</v>
      </c>
      <c r="F75" s="6">
        <v>-1</v>
      </c>
      <c r="G75" s="6" t="s">
        <v>793</v>
      </c>
      <c r="H75" s="6"/>
      <c r="I75" s="6"/>
      <c r="J75" s="6"/>
      <c r="K75" s="6"/>
    </row>
    <row r="76" spans="1:11">
      <c r="A76" s="6" t="s">
        <v>1355</v>
      </c>
      <c r="B76" s="6" t="s">
        <v>1383</v>
      </c>
      <c r="C76" s="6">
        <v>1</v>
      </c>
      <c r="D76" s="6" t="s">
        <v>1041</v>
      </c>
      <c r="E76" s="6" t="s">
        <v>1384</v>
      </c>
      <c r="F76" s="6">
        <v>-1</v>
      </c>
      <c r="G76" s="6" t="s">
        <v>793</v>
      </c>
      <c r="H76" s="6"/>
      <c r="I76" s="6"/>
      <c r="J76" s="6"/>
      <c r="K76" s="6"/>
    </row>
    <row r="77" spans="1:11">
      <c r="A77" s="6" t="s">
        <v>1385</v>
      </c>
      <c r="B77" s="6" t="s">
        <v>1383</v>
      </c>
      <c r="C77" s="6">
        <v>1</v>
      </c>
      <c r="D77" s="6" t="s">
        <v>1041</v>
      </c>
      <c r="E77" s="6" t="s">
        <v>837</v>
      </c>
      <c r="F77" s="6">
        <v>-1</v>
      </c>
      <c r="G77" s="6" t="s">
        <v>793</v>
      </c>
      <c r="H77" s="6"/>
      <c r="I77" s="6"/>
      <c r="J77" s="6"/>
      <c r="K77" s="6"/>
    </row>
    <row r="78" spans="1:11">
      <c r="A78" s="6" t="s">
        <v>1362</v>
      </c>
      <c r="B78" s="6" t="s">
        <v>1383</v>
      </c>
      <c r="C78" s="6">
        <v>1</v>
      </c>
      <c r="D78" s="6" t="s">
        <v>1041</v>
      </c>
      <c r="E78" s="6" t="s">
        <v>1386</v>
      </c>
      <c r="F78" s="6">
        <v>-1</v>
      </c>
      <c r="G78" s="6" t="s">
        <v>793</v>
      </c>
      <c r="H78" s="6"/>
      <c r="I78" s="6"/>
      <c r="J78" s="6"/>
      <c r="K78" s="6"/>
    </row>
    <row r="79" spans="1:11">
      <c r="A79" s="6" t="s">
        <v>1370</v>
      </c>
      <c r="B79" s="6" t="s">
        <v>1383</v>
      </c>
      <c r="C79" s="6">
        <v>1</v>
      </c>
      <c r="D79" s="6" t="s">
        <v>1041</v>
      </c>
      <c r="E79" s="6" t="s">
        <v>1387</v>
      </c>
      <c r="F79" s="6">
        <v>-1</v>
      </c>
      <c r="G79" s="6" t="s">
        <v>793</v>
      </c>
      <c r="H79" s="6"/>
      <c r="I79" s="6"/>
      <c r="J79" s="6"/>
      <c r="K79" s="6"/>
    </row>
    <row r="80" spans="1:11">
      <c r="A80" s="6" t="s">
        <v>1376</v>
      </c>
      <c r="B80" s="6" t="s">
        <v>1383</v>
      </c>
      <c r="C80" s="6">
        <v>1</v>
      </c>
      <c r="D80" s="6" t="s">
        <v>1041</v>
      </c>
      <c r="E80" s="6" t="s">
        <v>1388</v>
      </c>
      <c r="F80" s="6">
        <v>-1</v>
      </c>
      <c r="G80" s="6" t="s">
        <v>793</v>
      </c>
      <c r="H80" s="6"/>
      <c r="I80" s="6"/>
      <c r="J80" s="6"/>
      <c r="K80" s="6"/>
    </row>
    <row r="81" spans="1:11">
      <c r="A81" s="6" t="s">
        <v>1389</v>
      </c>
      <c r="B81" s="6" t="s">
        <v>1383</v>
      </c>
      <c r="C81" s="6">
        <v>1</v>
      </c>
      <c r="D81" s="6" t="s">
        <v>1041</v>
      </c>
      <c r="E81" s="6" t="s">
        <v>1390</v>
      </c>
      <c r="F81" s="6">
        <v>-1</v>
      </c>
      <c r="G81" s="6" t="s">
        <v>793</v>
      </c>
      <c r="H81" s="6"/>
      <c r="I81" s="6"/>
      <c r="J81" s="6"/>
      <c r="K81" s="6"/>
    </row>
    <row r="82" spans="1:11">
      <c r="A82" s="6" t="s">
        <v>1391</v>
      </c>
      <c r="B82" s="6" t="s">
        <v>1392</v>
      </c>
      <c r="C82" s="6">
        <v>1</v>
      </c>
      <c r="D82" s="6" t="s">
        <v>1041</v>
      </c>
      <c r="E82" s="6" t="s">
        <v>45</v>
      </c>
      <c r="F82" s="6">
        <v>-1</v>
      </c>
      <c r="G82" s="6" t="s">
        <v>793</v>
      </c>
      <c r="H82" s="6"/>
      <c r="I82" s="6"/>
      <c r="J82" s="6"/>
      <c r="K82" s="6"/>
    </row>
    <row r="83" spans="1:11">
      <c r="A83" s="6" t="s">
        <v>1393</v>
      </c>
      <c r="B83" s="6" t="s">
        <v>1392</v>
      </c>
      <c r="C83" s="6">
        <v>1</v>
      </c>
      <c r="D83" s="6" t="s">
        <v>1041</v>
      </c>
      <c r="E83" s="6" t="s">
        <v>45</v>
      </c>
      <c r="F83" s="6">
        <v>-1</v>
      </c>
      <c r="G83" s="6" t="s">
        <v>793</v>
      </c>
      <c r="H83" s="6"/>
      <c r="I83" s="6"/>
      <c r="J83" s="6"/>
      <c r="K83" s="6"/>
    </row>
    <row r="84" spans="1:11">
      <c r="A84" s="6" t="s">
        <v>1394</v>
      </c>
      <c r="B84" s="6" t="s">
        <v>1392</v>
      </c>
      <c r="C84" s="6">
        <v>1</v>
      </c>
      <c r="D84" s="6" t="s">
        <v>1041</v>
      </c>
      <c r="E84" s="6" t="s">
        <v>45</v>
      </c>
      <c r="F84" s="6">
        <v>-1</v>
      </c>
      <c r="G84" s="6" t="s">
        <v>793</v>
      </c>
      <c r="H84" s="6"/>
      <c r="I84" s="6"/>
      <c r="J84" s="6"/>
      <c r="K84" s="6"/>
    </row>
    <row r="85" spans="1:11">
      <c r="A85" s="6" t="s">
        <v>1395</v>
      </c>
      <c r="B85" s="6" t="s">
        <v>1392</v>
      </c>
      <c r="C85" s="6">
        <v>1</v>
      </c>
      <c r="D85" s="6" t="s">
        <v>1041</v>
      </c>
      <c r="E85" s="6" t="s">
        <v>45</v>
      </c>
      <c r="F85" s="6">
        <v>-1</v>
      </c>
      <c r="G85" s="6" t="s">
        <v>793</v>
      </c>
      <c r="H85" s="6"/>
      <c r="I85" s="6"/>
      <c r="J85" s="6"/>
      <c r="K85" s="6"/>
    </row>
    <row r="86" spans="1:11">
      <c r="A86" s="6" t="s">
        <v>1347</v>
      </c>
      <c r="B86" s="6" t="s">
        <v>1396</v>
      </c>
      <c r="C86" s="6">
        <v>1</v>
      </c>
      <c r="D86" s="6" t="s">
        <v>1041</v>
      </c>
      <c r="E86" s="6" t="s">
        <v>1397</v>
      </c>
      <c r="F86" s="6">
        <v>-1</v>
      </c>
      <c r="G86" s="6" t="s">
        <v>793</v>
      </c>
      <c r="H86" s="6"/>
      <c r="I86" s="6"/>
      <c r="J86" s="6"/>
      <c r="K86" s="6"/>
    </row>
    <row r="87" spans="1:11">
      <c r="A87" s="6" t="s">
        <v>1353</v>
      </c>
      <c r="B87" s="6" t="s">
        <v>1396</v>
      </c>
      <c r="C87" s="6">
        <v>1</v>
      </c>
      <c r="D87" s="6" t="s">
        <v>1041</v>
      </c>
      <c r="E87" s="6" t="s">
        <v>46</v>
      </c>
      <c r="F87" s="6">
        <v>-1</v>
      </c>
      <c r="G87" s="6" t="s">
        <v>793</v>
      </c>
      <c r="H87" s="6"/>
      <c r="I87" s="6"/>
      <c r="J87" s="6"/>
      <c r="K87" s="6"/>
    </row>
    <row r="88" spans="1:11">
      <c r="A88" s="6" t="s">
        <v>1383</v>
      </c>
      <c r="B88" s="6" t="s">
        <v>1396</v>
      </c>
      <c r="C88" s="6">
        <v>1</v>
      </c>
      <c r="D88" s="6" t="s">
        <v>1041</v>
      </c>
      <c r="E88" s="6" t="s">
        <v>1398</v>
      </c>
      <c r="F88" s="6">
        <v>-1</v>
      </c>
      <c r="G88" s="6" t="s">
        <v>793</v>
      </c>
      <c r="H88" s="6"/>
      <c r="I88" s="6"/>
      <c r="J88" s="6"/>
      <c r="K88" s="6"/>
    </row>
    <row r="89" spans="1:11">
      <c r="A89" s="6" t="s">
        <v>1392</v>
      </c>
      <c r="B89" s="6" t="s">
        <v>1396</v>
      </c>
      <c r="C89" s="6">
        <v>1</v>
      </c>
      <c r="D89" s="6" t="s">
        <v>1041</v>
      </c>
      <c r="E89" s="6" t="s">
        <v>1399</v>
      </c>
      <c r="F89" s="6">
        <v>-1</v>
      </c>
      <c r="G89" s="6" t="s">
        <v>793</v>
      </c>
      <c r="H89" s="6"/>
      <c r="I89" s="6"/>
      <c r="J89" s="6"/>
      <c r="K89" s="6"/>
    </row>
    <row r="90" spans="1:11">
      <c r="A90" s="6" t="s">
        <v>1400</v>
      </c>
      <c r="B90" s="6" t="s">
        <v>1401</v>
      </c>
      <c r="C90" s="6">
        <v>1</v>
      </c>
      <c r="D90" s="6" t="s">
        <v>1041</v>
      </c>
      <c r="E90" s="6" t="s">
        <v>46</v>
      </c>
      <c r="F90" s="6">
        <v>-1</v>
      </c>
      <c r="G90" s="6" t="s">
        <v>793</v>
      </c>
      <c r="H90" s="6"/>
      <c r="I90" s="6"/>
      <c r="J90" s="6"/>
      <c r="K90" s="6"/>
    </row>
    <row r="91" spans="1:11">
      <c r="A91" s="6" t="s">
        <v>1402</v>
      </c>
      <c r="B91" s="6" t="s">
        <v>1401</v>
      </c>
      <c r="C91" s="6">
        <v>1</v>
      </c>
      <c r="D91" s="6" t="s">
        <v>1041</v>
      </c>
      <c r="E91" s="6" t="s">
        <v>46</v>
      </c>
      <c r="F91" s="6">
        <v>-1</v>
      </c>
      <c r="G91" s="6" t="s">
        <v>793</v>
      </c>
      <c r="H91" s="6"/>
      <c r="I91" s="6"/>
      <c r="J91" s="6"/>
      <c r="K91" s="6"/>
    </row>
    <row r="92" spans="1:11">
      <c r="A92" s="6" t="s">
        <v>1403</v>
      </c>
      <c r="B92" s="6" t="s">
        <v>1404</v>
      </c>
      <c r="C92" s="6">
        <v>1</v>
      </c>
      <c r="D92" s="6" t="s">
        <v>1041</v>
      </c>
      <c r="E92" s="6" t="s">
        <v>46</v>
      </c>
      <c r="F92" s="6">
        <v>-1</v>
      </c>
      <c r="G92" s="6" t="s">
        <v>793</v>
      </c>
      <c r="H92" s="6"/>
      <c r="I92" s="6"/>
      <c r="J92" s="6"/>
      <c r="K92" s="6"/>
    </row>
    <row r="93" spans="1:11">
      <c r="A93" s="6" t="s">
        <v>1405</v>
      </c>
      <c r="B93" s="6" t="s">
        <v>1404</v>
      </c>
      <c r="C93" s="6">
        <v>1</v>
      </c>
      <c r="D93" s="6" t="s">
        <v>1041</v>
      </c>
      <c r="E93" s="6" t="s">
        <v>46</v>
      </c>
      <c r="F93" s="6">
        <v>-1</v>
      </c>
      <c r="G93" s="6" t="s">
        <v>793</v>
      </c>
      <c r="H93" s="6"/>
      <c r="I93" s="6"/>
      <c r="J93" s="6"/>
      <c r="K93" s="6"/>
    </row>
    <row r="94" spans="1:11">
      <c r="A94" s="6" t="s">
        <v>1406</v>
      </c>
      <c r="B94" s="6" t="s">
        <v>1404</v>
      </c>
      <c r="C94" s="6">
        <v>1</v>
      </c>
      <c r="D94" s="6" t="s">
        <v>1041</v>
      </c>
      <c r="E94" s="6" t="s">
        <v>46</v>
      </c>
      <c r="F94" s="6">
        <v>-1</v>
      </c>
      <c r="G94" s="6" t="s">
        <v>793</v>
      </c>
      <c r="H94" s="6"/>
      <c r="I94" s="6"/>
      <c r="J94" s="6"/>
      <c r="K94" s="6"/>
    </row>
    <row r="95" spans="1:11">
      <c r="A95" s="6" t="s">
        <v>1407</v>
      </c>
      <c r="B95" s="6" t="s">
        <v>1404</v>
      </c>
      <c r="C95" s="6">
        <v>1</v>
      </c>
      <c r="D95" s="6" t="s">
        <v>1041</v>
      </c>
      <c r="E95" s="6" t="s">
        <v>46</v>
      </c>
      <c r="F95" s="6">
        <v>-1</v>
      </c>
      <c r="G95" s="6" t="s">
        <v>793</v>
      </c>
      <c r="H95" s="6"/>
      <c r="I95" s="6"/>
      <c r="J95" s="6"/>
      <c r="K95" s="6"/>
    </row>
    <row r="96" spans="1:11">
      <c r="A96" s="6" t="s">
        <v>1408</v>
      </c>
      <c r="B96" s="6" t="s">
        <v>1404</v>
      </c>
      <c r="C96" s="6">
        <v>1</v>
      </c>
      <c r="D96" s="6" t="s">
        <v>1041</v>
      </c>
      <c r="E96" s="6" t="s">
        <v>46</v>
      </c>
      <c r="F96" s="6">
        <v>-1</v>
      </c>
      <c r="G96" s="6" t="s">
        <v>793</v>
      </c>
      <c r="H96" s="6"/>
      <c r="I96" s="6"/>
      <c r="J96" s="6"/>
      <c r="K96" s="6"/>
    </row>
    <row r="97" spans="1:11">
      <c r="A97" s="6" t="s">
        <v>1409</v>
      </c>
      <c r="B97" s="6" t="s">
        <v>1410</v>
      </c>
      <c r="C97" s="6">
        <v>1</v>
      </c>
      <c r="D97" s="6" t="s">
        <v>1041</v>
      </c>
      <c r="E97" s="6" t="s">
        <v>41</v>
      </c>
      <c r="F97" s="6">
        <v>-1</v>
      </c>
      <c r="G97" s="6" t="s">
        <v>793</v>
      </c>
      <c r="H97" s="6"/>
      <c r="I97" s="6"/>
      <c r="J97" s="6"/>
      <c r="K97" s="6"/>
    </row>
    <row r="98" spans="1:11">
      <c r="A98" s="6" t="s">
        <v>1411</v>
      </c>
      <c r="B98" s="6" t="s">
        <v>1410</v>
      </c>
      <c r="C98" s="6">
        <v>1</v>
      </c>
      <c r="D98" s="6" t="s">
        <v>1041</v>
      </c>
      <c r="E98" s="6" t="s">
        <v>41</v>
      </c>
      <c r="F98" s="6">
        <v>-1</v>
      </c>
      <c r="G98" s="6" t="s">
        <v>793</v>
      </c>
      <c r="H98" s="6"/>
      <c r="I98" s="6"/>
      <c r="J98" s="6"/>
      <c r="K98" s="6"/>
    </row>
    <row r="99" spans="1:11">
      <c r="A99" s="6" t="s">
        <v>1412</v>
      </c>
      <c r="B99" s="6" t="s">
        <v>1410</v>
      </c>
      <c r="C99" s="6">
        <v>1</v>
      </c>
      <c r="D99" s="6" t="s">
        <v>1041</v>
      </c>
      <c r="E99" s="6" t="s">
        <v>41</v>
      </c>
      <c r="F99" s="6">
        <v>-1</v>
      </c>
      <c r="G99" s="6" t="s">
        <v>793</v>
      </c>
      <c r="H99" s="6"/>
      <c r="I99" s="6"/>
      <c r="J99" s="6"/>
      <c r="K99" s="6"/>
    </row>
    <row r="100" spans="1:11">
      <c r="A100" s="6" t="s">
        <v>1413</v>
      </c>
      <c r="B100" s="6" t="s">
        <v>1410</v>
      </c>
      <c r="C100" s="6">
        <v>1</v>
      </c>
      <c r="D100" s="6" t="s">
        <v>1041</v>
      </c>
      <c r="E100" s="6" t="s">
        <v>41</v>
      </c>
      <c r="F100" s="6">
        <v>-1</v>
      </c>
      <c r="G100" s="6" t="s">
        <v>793</v>
      </c>
      <c r="H100" s="6"/>
      <c r="I100" s="6"/>
      <c r="J100" s="6"/>
      <c r="K100" s="6"/>
    </row>
    <row r="101" spans="1:11">
      <c r="A101" s="6" t="s">
        <v>1414</v>
      </c>
      <c r="B101" s="6" t="s">
        <v>1410</v>
      </c>
      <c r="C101" s="6">
        <v>1</v>
      </c>
      <c r="D101" s="6" t="s">
        <v>1041</v>
      </c>
      <c r="E101" s="6" t="s">
        <v>41</v>
      </c>
      <c r="F101" s="6">
        <v>-1</v>
      </c>
      <c r="G101" s="6" t="s">
        <v>793</v>
      </c>
      <c r="H101" s="6"/>
      <c r="I101" s="6"/>
      <c r="J101" s="6"/>
      <c r="K101" s="6"/>
    </row>
    <row r="102" spans="1:11">
      <c r="A102" s="6" t="s">
        <v>1415</v>
      </c>
      <c r="B102" s="6" t="s">
        <v>1410</v>
      </c>
      <c r="C102" s="6">
        <v>1</v>
      </c>
      <c r="D102" s="6" t="s">
        <v>1041</v>
      </c>
      <c r="E102" s="6" t="s">
        <v>41</v>
      </c>
      <c r="F102" s="6">
        <v>-1</v>
      </c>
      <c r="G102" s="6" t="s">
        <v>793</v>
      </c>
      <c r="H102" s="6"/>
      <c r="I102" s="6"/>
      <c r="J102" s="6"/>
      <c r="K102" s="6"/>
    </row>
    <row r="103" spans="1:11">
      <c r="A103" s="6" t="s">
        <v>1416</v>
      </c>
      <c r="B103" s="6" t="s">
        <v>1410</v>
      </c>
      <c r="C103" s="6">
        <v>1</v>
      </c>
      <c r="D103" s="6" t="s">
        <v>1041</v>
      </c>
      <c r="E103" s="6" t="s">
        <v>45</v>
      </c>
      <c r="F103" s="6">
        <v>-1</v>
      </c>
      <c r="G103" s="6" t="s">
        <v>793</v>
      </c>
      <c r="H103" s="6"/>
      <c r="I103" s="6"/>
      <c r="J103" s="6"/>
      <c r="K103" s="6"/>
    </row>
    <row r="104" spans="1:11">
      <c r="A104" s="6" t="s">
        <v>1417</v>
      </c>
      <c r="B104" s="6" t="s">
        <v>1410</v>
      </c>
      <c r="C104" s="6">
        <v>1</v>
      </c>
      <c r="D104" s="6" t="s">
        <v>1041</v>
      </c>
      <c r="E104" s="6" t="s">
        <v>45</v>
      </c>
      <c r="F104" s="6">
        <v>-1</v>
      </c>
      <c r="G104" s="6" t="s">
        <v>793</v>
      </c>
      <c r="H104" s="6"/>
      <c r="I104" s="6"/>
      <c r="J104" s="6"/>
      <c r="K104" s="6"/>
    </row>
    <row r="105" spans="1:11">
      <c r="A105" s="6" t="s">
        <v>1418</v>
      </c>
      <c r="B105" s="6" t="s">
        <v>1410</v>
      </c>
      <c r="C105" s="6">
        <v>1</v>
      </c>
      <c r="D105" s="6" t="s">
        <v>1041</v>
      </c>
      <c r="E105" s="6" t="s">
        <v>45</v>
      </c>
      <c r="F105" s="6">
        <v>-1</v>
      </c>
      <c r="G105" s="6" t="s">
        <v>793</v>
      </c>
      <c r="H105" s="6"/>
      <c r="I105" s="6"/>
      <c r="J105" s="6"/>
      <c r="K105" s="6"/>
    </row>
    <row r="106" spans="1:11">
      <c r="A106" s="6" t="s">
        <v>1419</v>
      </c>
      <c r="B106" s="6" t="s">
        <v>1410</v>
      </c>
      <c r="C106" s="6">
        <v>1</v>
      </c>
      <c r="D106" s="6" t="s">
        <v>1041</v>
      </c>
      <c r="E106" s="6" t="s">
        <v>45</v>
      </c>
      <c r="F106" s="6">
        <v>-1</v>
      </c>
      <c r="G106" s="6" t="s">
        <v>793</v>
      </c>
      <c r="H106" s="6"/>
      <c r="I106" s="6"/>
      <c r="J106" s="6"/>
      <c r="K106" s="6"/>
    </row>
    <row r="107" spans="1:11">
      <c r="A107" s="6" t="s">
        <v>1420</v>
      </c>
      <c r="B107" s="6" t="s">
        <v>1410</v>
      </c>
      <c r="C107" s="6">
        <v>1</v>
      </c>
      <c r="D107" s="6" t="s">
        <v>1041</v>
      </c>
      <c r="E107" s="6" t="s">
        <v>45</v>
      </c>
      <c r="F107" s="6">
        <v>-1</v>
      </c>
      <c r="G107" s="6" t="s">
        <v>793</v>
      </c>
      <c r="H107" s="6"/>
      <c r="I107" s="6"/>
      <c r="J107" s="6"/>
      <c r="K107" s="6"/>
    </row>
    <row r="108" spans="1:11">
      <c r="A108" s="6" t="s">
        <v>1421</v>
      </c>
      <c r="B108" s="6" t="s">
        <v>1410</v>
      </c>
      <c r="C108" s="6">
        <v>1</v>
      </c>
      <c r="D108" s="6" t="s">
        <v>1041</v>
      </c>
      <c r="E108" s="6" t="s">
        <v>45</v>
      </c>
      <c r="F108" s="6">
        <v>-1</v>
      </c>
      <c r="G108" s="6" t="s">
        <v>793</v>
      </c>
      <c r="H108" s="6"/>
      <c r="I108" s="6"/>
      <c r="J108" s="6"/>
      <c r="K108" s="6"/>
    </row>
    <row r="109" spans="1:11">
      <c r="A109" s="6" t="s">
        <v>1422</v>
      </c>
      <c r="B109" s="6" t="s">
        <v>1410</v>
      </c>
      <c r="C109" s="6">
        <v>1</v>
      </c>
      <c r="D109" s="6" t="s">
        <v>1041</v>
      </c>
      <c r="E109" s="6" t="s">
        <v>41</v>
      </c>
      <c r="F109" s="6">
        <v>-1</v>
      </c>
      <c r="G109" s="6" t="s">
        <v>793</v>
      </c>
      <c r="H109" s="6"/>
      <c r="I109" s="6"/>
      <c r="J109" s="6"/>
      <c r="K109" s="6"/>
    </row>
    <row r="110" spans="1:11">
      <c r="A110" s="6" t="s">
        <v>1423</v>
      </c>
      <c r="B110" s="6" t="s">
        <v>1410</v>
      </c>
      <c r="C110" s="6">
        <v>1</v>
      </c>
      <c r="D110" s="6" t="s">
        <v>1041</v>
      </c>
      <c r="E110" s="6" t="s">
        <v>41</v>
      </c>
      <c r="F110" s="6">
        <v>-1</v>
      </c>
      <c r="G110" s="6" t="s">
        <v>793</v>
      </c>
      <c r="H110" s="6"/>
      <c r="I110" s="6"/>
      <c r="J110" s="6"/>
      <c r="K110" s="6"/>
    </row>
    <row r="111" spans="1:11">
      <c r="A111" s="6" t="s">
        <v>1424</v>
      </c>
      <c r="B111" s="6" t="s">
        <v>1410</v>
      </c>
      <c r="C111" s="6">
        <v>1</v>
      </c>
      <c r="D111" s="6" t="s">
        <v>1041</v>
      </c>
      <c r="E111" s="6" t="s">
        <v>41</v>
      </c>
      <c r="F111" s="6">
        <v>-1</v>
      </c>
      <c r="G111" s="6" t="s">
        <v>793</v>
      </c>
      <c r="H111" s="6"/>
      <c r="I111" s="6"/>
      <c r="J111" s="6"/>
      <c r="K111" s="6"/>
    </row>
    <row r="112" spans="1:11">
      <c r="A112" s="6" t="s">
        <v>1425</v>
      </c>
      <c r="B112" s="6" t="s">
        <v>1410</v>
      </c>
      <c r="C112" s="6">
        <v>1</v>
      </c>
      <c r="D112" s="6" t="s">
        <v>1041</v>
      </c>
      <c r="E112" s="6" t="s">
        <v>41</v>
      </c>
      <c r="F112" s="6">
        <v>-1</v>
      </c>
      <c r="G112" s="6" t="s">
        <v>793</v>
      </c>
      <c r="H112" s="6"/>
      <c r="I112" s="6"/>
      <c r="J112" s="6"/>
      <c r="K112" s="6"/>
    </row>
    <row r="113" spans="1:11">
      <c r="A113" s="6" t="s">
        <v>1426</v>
      </c>
      <c r="B113" s="6" t="s">
        <v>1410</v>
      </c>
      <c r="C113" s="6">
        <v>1</v>
      </c>
      <c r="D113" s="6" t="s">
        <v>1041</v>
      </c>
      <c r="E113" s="6" t="s">
        <v>41</v>
      </c>
      <c r="F113" s="6">
        <v>-1</v>
      </c>
      <c r="G113" s="6" t="s">
        <v>793</v>
      </c>
      <c r="H113" s="6"/>
      <c r="I113" s="6"/>
      <c r="J113" s="6"/>
      <c r="K113" s="6"/>
    </row>
    <row r="114" spans="1:11">
      <c r="A114" s="6" t="s">
        <v>1427</v>
      </c>
      <c r="B114" s="6" t="s">
        <v>1410</v>
      </c>
      <c r="C114" s="6">
        <v>1</v>
      </c>
      <c r="D114" s="6" t="s">
        <v>1041</v>
      </c>
      <c r="E114" s="6" t="s">
        <v>41</v>
      </c>
      <c r="F114" s="6">
        <v>-1</v>
      </c>
      <c r="G114" s="6" t="s">
        <v>793</v>
      </c>
      <c r="H114" s="6"/>
      <c r="I114" s="6"/>
      <c r="J114" s="6"/>
      <c r="K114" s="6"/>
    </row>
    <row r="115" spans="1:11">
      <c r="A115" s="6" t="s">
        <v>1428</v>
      </c>
      <c r="B115" s="6" t="s">
        <v>1410</v>
      </c>
      <c r="C115" s="6">
        <v>1</v>
      </c>
      <c r="D115" s="6" t="s">
        <v>1041</v>
      </c>
      <c r="E115" s="6" t="s">
        <v>41</v>
      </c>
      <c r="F115" s="6">
        <v>-1</v>
      </c>
      <c r="G115" s="6" t="s">
        <v>793</v>
      </c>
      <c r="H115" s="6"/>
      <c r="I115" s="6"/>
      <c r="J115" s="6"/>
      <c r="K115" s="6"/>
    </row>
    <row r="116" spans="1:11">
      <c r="A116" s="6" t="s">
        <v>1429</v>
      </c>
      <c r="B116" s="6" t="s">
        <v>1410</v>
      </c>
      <c r="C116" s="6">
        <v>1</v>
      </c>
      <c r="D116" s="6" t="s">
        <v>1041</v>
      </c>
      <c r="E116" s="6" t="s">
        <v>41</v>
      </c>
      <c r="F116" s="6">
        <v>-1</v>
      </c>
      <c r="G116" s="6" t="s">
        <v>793</v>
      </c>
      <c r="H116" s="6"/>
      <c r="I116" s="6"/>
      <c r="J116" s="6"/>
      <c r="K116" s="6"/>
    </row>
    <row r="117" spans="1:11">
      <c r="A117" s="6" t="s">
        <v>1430</v>
      </c>
      <c r="B117" s="6" t="s">
        <v>1410</v>
      </c>
      <c r="C117" s="6">
        <v>1</v>
      </c>
      <c r="D117" s="6" t="s">
        <v>1041</v>
      </c>
      <c r="E117" s="6" t="s">
        <v>41</v>
      </c>
      <c r="F117" s="6">
        <v>-1</v>
      </c>
      <c r="G117" s="6" t="s">
        <v>793</v>
      </c>
      <c r="H117" s="6"/>
      <c r="I117" s="6"/>
      <c r="J117" s="6"/>
      <c r="K117" s="6"/>
    </row>
    <row r="118" spans="1:11">
      <c r="A118" s="6" t="s">
        <v>1431</v>
      </c>
      <c r="B118" s="6" t="s">
        <v>1410</v>
      </c>
      <c r="C118" s="6">
        <v>1</v>
      </c>
      <c r="D118" s="6" t="s">
        <v>1041</v>
      </c>
      <c r="E118" s="6" t="s">
        <v>41</v>
      </c>
      <c r="F118" s="6">
        <v>-1</v>
      </c>
      <c r="G118" s="6" t="s">
        <v>793</v>
      </c>
      <c r="H118" s="6"/>
      <c r="I118" s="6"/>
      <c r="J118" s="6"/>
      <c r="K118" s="6"/>
    </row>
    <row r="119" spans="1:11">
      <c r="A119" s="6" t="s">
        <v>791</v>
      </c>
      <c r="B119" s="6" t="s">
        <v>1432</v>
      </c>
      <c r="C119" s="6">
        <v>1</v>
      </c>
      <c r="D119" s="6" t="s">
        <v>1041</v>
      </c>
      <c r="E119" s="6" t="s">
        <v>46</v>
      </c>
      <c r="F119" s="6">
        <v>-1</v>
      </c>
      <c r="G119" s="6" t="s">
        <v>793</v>
      </c>
      <c r="H119" s="6"/>
      <c r="I119" s="6"/>
      <c r="J119" s="6"/>
      <c r="K119" s="6"/>
    </row>
    <row r="120" spans="1:11">
      <c r="A120" s="6" t="s">
        <v>797</v>
      </c>
      <c r="B120" s="6" t="s">
        <v>1432</v>
      </c>
      <c r="C120" s="6">
        <v>1</v>
      </c>
      <c r="D120" s="6" t="s">
        <v>1041</v>
      </c>
      <c r="E120" s="6" t="s">
        <v>46</v>
      </c>
      <c r="F120" s="6">
        <v>-1</v>
      </c>
      <c r="G120" s="6" t="s">
        <v>793</v>
      </c>
      <c r="H120" s="6"/>
      <c r="I120" s="6"/>
      <c r="J120" s="6"/>
      <c r="K120" s="6"/>
    </row>
    <row r="121" spans="1:11">
      <c r="A121" s="6" t="s">
        <v>799</v>
      </c>
      <c r="B121" s="6" t="s">
        <v>1432</v>
      </c>
      <c r="C121" s="6">
        <v>1</v>
      </c>
      <c r="D121" s="6" t="s">
        <v>1041</v>
      </c>
      <c r="E121" s="6" t="s">
        <v>46</v>
      </c>
      <c r="F121" s="6">
        <v>-1</v>
      </c>
      <c r="G121" s="6" t="s">
        <v>793</v>
      </c>
      <c r="H121" s="6"/>
      <c r="I121" s="6"/>
      <c r="J121" s="6"/>
      <c r="K121" s="6"/>
    </row>
    <row r="122" spans="1:11">
      <c r="A122" s="6" t="s">
        <v>801</v>
      </c>
      <c r="B122" s="6" t="s">
        <v>1432</v>
      </c>
      <c r="C122" s="6">
        <v>1</v>
      </c>
      <c r="D122" s="6" t="s">
        <v>1041</v>
      </c>
      <c r="E122" s="6" t="s">
        <v>46</v>
      </c>
      <c r="F122" s="6">
        <v>-1</v>
      </c>
      <c r="G122" s="6" t="s">
        <v>793</v>
      </c>
      <c r="H122" s="6"/>
      <c r="I122" s="6"/>
      <c r="J122" s="6"/>
      <c r="K122" s="6"/>
    </row>
    <row r="123" spans="1:11">
      <c r="A123" s="6" t="s">
        <v>803</v>
      </c>
      <c r="B123" s="6" t="s">
        <v>1432</v>
      </c>
      <c r="C123" s="6">
        <v>1</v>
      </c>
      <c r="D123" s="6" t="s">
        <v>1041</v>
      </c>
      <c r="E123" s="6" t="s">
        <v>46</v>
      </c>
      <c r="F123" s="6">
        <v>-1</v>
      </c>
      <c r="G123" s="6" t="s">
        <v>793</v>
      </c>
      <c r="H123" s="6"/>
      <c r="I123" s="6"/>
      <c r="J123" s="6"/>
      <c r="K123" s="6"/>
    </row>
    <row r="124" spans="1:11">
      <c r="A124" s="6" t="s">
        <v>805</v>
      </c>
      <c r="B124" s="6" t="s">
        <v>1432</v>
      </c>
      <c r="C124" s="6">
        <v>1</v>
      </c>
      <c r="D124" s="6" t="s">
        <v>1041</v>
      </c>
      <c r="E124" s="6" t="s">
        <v>46</v>
      </c>
      <c r="F124" s="6">
        <v>-1</v>
      </c>
      <c r="G124" s="6" t="s">
        <v>793</v>
      </c>
      <c r="H124" s="6"/>
      <c r="I124" s="6"/>
      <c r="J124" s="6"/>
      <c r="K124" s="6"/>
    </row>
    <row r="125" spans="1:11">
      <c r="A125" s="6" t="s">
        <v>812</v>
      </c>
      <c r="B125" s="6" t="s">
        <v>1432</v>
      </c>
      <c r="C125" s="6">
        <v>1</v>
      </c>
      <c r="D125" s="6" t="s">
        <v>1041</v>
      </c>
      <c r="E125" s="6" t="s">
        <v>52</v>
      </c>
      <c r="F125" s="6">
        <v>-1</v>
      </c>
      <c r="G125" s="6" t="s">
        <v>793</v>
      </c>
      <c r="H125" s="6"/>
      <c r="I125" s="6"/>
      <c r="J125" s="6"/>
      <c r="K125" s="6"/>
    </row>
    <row r="126" spans="1:11">
      <c r="A126" s="6" t="s">
        <v>816</v>
      </c>
      <c r="B126" s="6" t="s">
        <v>1432</v>
      </c>
      <c r="C126" s="6">
        <v>1</v>
      </c>
      <c r="D126" s="6" t="s">
        <v>1041</v>
      </c>
      <c r="E126" s="6" t="s">
        <v>52</v>
      </c>
      <c r="F126" s="6">
        <v>-1</v>
      </c>
      <c r="G126" s="6" t="s">
        <v>793</v>
      </c>
      <c r="H126" s="6"/>
      <c r="I126" s="6"/>
      <c r="J126" s="6"/>
      <c r="K126" s="6"/>
    </row>
    <row r="127" spans="1:11">
      <c r="A127" s="6" t="s">
        <v>817</v>
      </c>
      <c r="B127" s="6" t="s">
        <v>1432</v>
      </c>
      <c r="C127" s="6">
        <v>1</v>
      </c>
      <c r="D127" s="6" t="s">
        <v>1041</v>
      </c>
      <c r="E127" s="6" t="s">
        <v>52</v>
      </c>
      <c r="F127" s="6">
        <v>-1</v>
      </c>
      <c r="G127" s="6" t="s">
        <v>793</v>
      </c>
      <c r="H127" s="6"/>
      <c r="I127" s="6"/>
      <c r="J127" s="6"/>
      <c r="K127" s="6"/>
    </row>
    <row r="128" spans="1:11">
      <c r="A128" s="6" t="s">
        <v>818</v>
      </c>
      <c r="B128" s="6" t="s">
        <v>1432</v>
      </c>
      <c r="C128" s="6">
        <v>1</v>
      </c>
      <c r="D128" s="6" t="s">
        <v>1041</v>
      </c>
      <c r="E128" s="6" t="s">
        <v>52</v>
      </c>
      <c r="F128" s="6">
        <v>-1</v>
      </c>
      <c r="G128" s="6" t="s">
        <v>793</v>
      </c>
      <c r="H128" s="6"/>
      <c r="I128" s="6"/>
      <c r="J128" s="6"/>
      <c r="K128" s="6"/>
    </row>
    <row r="129" spans="1:11">
      <c r="A129" s="6" t="s">
        <v>819</v>
      </c>
      <c r="B129" s="6" t="s">
        <v>1432</v>
      </c>
      <c r="C129" s="6">
        <v>1</v>
      </c>
      <c r="D129" s="6" t="s">
        <v>1041</v>
      </c>
      <c r="E129" s="6" t="s">
        <v>52</v>
      </c>
      <c r="F129" s="6">
        <v>-1</v>
      </c>
      <c r="G129" s="6" t="s">
        <v>793</v>
      </c>
      <c r="H129" s="6"/>
      <c r="I129" s="6"/>
      <c r="J129" s="6"/>
      <c r="K129" s="6"/>
    </row>
    <row r="130" spans="1:11">
      <c r="A130" s="6" t="s">
        <v>820</v>
      </c>
      <c r="B130" s="6" t="s">
        <v>1432</v>
      </c>
      <c r="C130" s="6">
        <v>1</v>
      </c>
      <c r="D130" s="6" t="s">
        <v>1041</v>
      </c>
      <c r="E130" s="6" t="s">
        <v>52</v>
      </c>
      <c r="F130" s="6">
        <v>-1</v>
      </c>
      <c r="G130" s="6" t="s">
        <v>793</v>
      </c>
      <c r="H130" s="6"/>
      <c r="I130" s="6"/>
      <c r="J130" s="6"/>
      <c r="K130" s="6"/>
    </row>
    <row r="131" spans="1:11">
      <c r="A131" s="6" t="s">
        <v>807</v>
      </c>
      <c r="B131" s="6" t="s">
        <v>1432</v>
      </c>
      <c r="C131" s="6">
        <v>1</v>
      </c>
      <c r="D131" s="6" t="s">
        <v>1041</v>
      </c>
      <c r="E131" s="6" t="s">
        <v>46</v>
      </c>
      <c r="F131" s="6">
        <v>-1</v>
      </c>
      <c r="G131" s="6" t="s">
        <v>793</v>
      </c>
      <c r="H131" s="6"/>
      <c r="I131" s="6"/>
      <c r="J131" s="6"/>
      <c r="K131" s="6"/>
    </row>
    <row r="132" spans="1:11">
      <c r="A132" s="6" t="s">
        <v>809</v>
      </c>
      <c r="B132" s="6" t="s">
        <v>1432</v>
      </c>
      <c r="C132" s="6">
        <v>1</v>
      </c>
      <c r="D132" s="6" t="s">
        <v>1041</v>
      </c>
      <c r="E132" s="6" t="s">
        <v>46</v>
      </c>
      <c r="F132" s="6">
        <v>-1</v>
      </c>
      <c r="G132" s="6" t="s">
        <v>793</v>
      </c>
      <c r="H132" s="6"/>
      <c r="I132" s="6"/>
      <c r="J132" s="6"/>
      <c r="K132" s="6"/>
    </row>
    <row r="133" spans="1:11">
      <c r="A133" s="6" t="s">
        <v>1433</v>
      </c>
      <c r="B133" s="6" t="s">
        <v>1432</v>
      </c>
      <c r="C133" s="6">
        <v>1</v>
      </c>
      <c r="D133" s="6" t="s">
        <v>1041</v>
      </c>
      <c r="E133" s="6" t="s">
        <v>46</v>
      </c>
      <c r="F133" s="6">
        <v>-1</v>
      </c>
      <c r="G133" s="6" t="s">
        <v>793</v>
      </c>
      <c r="H133" s="6"/>
      <c r="I133" s="6"/>
      <c r="J133" s="6"/>
      <c r="K133" s="6"/>
    </row>
    <row r="134" spans="1:11">
      <c r="A134" s="6" t="s">
        <v>830</v>
      </c>
      <c r="B134" s="6" t="s">
        <v>1432</v>
      </c>
      <c r="C134" s="6">
        <v>1</v>
      </c>
      <c r="D134" s="6" t="s">
        <v>1041</v>
      </c>
      <c r="E134" s="6" t="s">
        <v>41</v>
      </c>
      <c r="F134" s="6">
        <v>-1</v>
      </c>
      <c r="G134" s="6" t="s">
        <v>793</v>
      </c>
      <c r="H134" s="6"/>
      <c r="I134" s="6"/>
      <c r="J134" s="6"/>
      <c r="K134" s="6"/>
    </row>
    <row r="135" spans="1:11">
      <c r="A135" s="6" t="s">
        <v>832</v>
      </c>
      <c r="B135" s="6" t="s">
        <v>1432</v>
      </c>
      <c r="C135" s="6">
        <v>1</v>
      </c>
      <c r="D135" s="6" t="s">
        <v>1041</v>
      </c>
      <c r="E135" s="6" t="s">
        <v>41</v>
      </c>
      <c r="F135" s="6">
        <v>-1</v>
      </c>
      <c r="G135" s="6" t="s">
        <v>793</v>
      </c>
      <c r="H135" s="6"/>
      <c r="I135" s="6"/>
      <c r="J135" s="6"/>
      <c r="K135" s="6"/>
    </row>
    <row r="136" spans="1:11">
      <c r="A136" s="6" t="s">
        <v>833</v>
      </c>
      <c r="B136" s="6" t="s">
        <v>1432</v>
      </c>
      <c r="C136" s="6">
        <v>1</v>
      </c>
      <c r="D136" s="6" t="s">
        <v>1041</v>
      </c>
      <c r="E136" s="6" t="s">
        <v>41</v>
      </c>
      <c r="F136" s="6">
        <v>-1</v>
      </c>
      <c r="G136" s="6" t="s">
        <v>793</v>
      </c>
      <c r="H136" s="6"/>
      <c r="I136" s="6"/>
      <c r="J136" s="6"/>
      <c r="K136" s="6"/>
    </row>
    <row r="137" spans="1:11">
      <c r="A137" s="6" t="s">
        <v>1404</v>
      </c>
      <c r="B137" s="6" t="s">
        <v>1434</v>
      </c>
      <c r="C137" s="6">
        <v>1</v>
      </c>
      <c r="D137" s="6" t="s">
        <v>1041</v>
      </c>
      <c r="E137" s="6" t="s">
        <v>1435</v>
      </c>
      <c r="F137" s="6">
        <v>-1</v>
      </c>
      <c r="G137" s="6" t="s">
        <v>793</v>
      </c>
      <c r="H137" s="6"/>
      <c r="I137" s="6"/>
      <c r="J137" s="6"/>
      <c r="K137" s="6"/>
    </row>
    <row r="138" spans="1:11">
      <c r="A138" s="6" t="s">
        <v>1410</v>
      </c>
      <c r="B138" s="6" t="s">
        <v>1434</v>
      </c>
      <c r="C138" s="6">
        <v>1</v>
      </c>
      <c r="D138" s="6" t="s">
        <v>1041</v>
      </c>
      <c r="E138" s="6" t="s">
        <v>1436</v>
      </c>
      <c r="F138" s="6">
        <v>-1</v>
      </c>
      <c r="G138" s="6" t="s">
        <v>793</v>
      </c>
      <c r="H138" s="6"/>
      <c r="I138" s="6"/>
      <c r="J138" s="6"/>
      <c r="K138" s="6"/>
    </row>
    <row r="139" spans="1:11">
      <c r="A139" s="6" t="s">
        <v>1432</v>
      </c>
      <c r="B139" s="6" t="s">
        <v>1434</v>
      </c>
      <c r="C139" s="6">
        <v>1</v>
      </c>
      <c r="D139" s="6" t="s">
        <v>1041</v>
      </c>
      <c r="E139" s="6" t="s">
        <v>1437</v>
      </c>
      <c r="F139" s="6">
        <v>-1</v>
      </c>
      <c r="G139" s="6" t="s">
        <v>793</v>
      </c>
      <c r="H139" s="6"/>
      <c r="I139" s="6"/>
      <c r="J139" s="6"/>
      <c r="K139" s="6"/>
    </row>
    <row r="140" spans="1:11">
      <c r="A140" s="6" t="s">
        <v>1438</v>
      </c>
      <c r="B140" s="6" t="s">
        <v>1439</v>
      </c>
      <c r="C140" s="6">
        <v>1</v>
      </c>
      <c r="D140" s="6" t="s">
        <v>1041</v>
      </c>
      <c r="E140" s="6" t="s">
        <v>53</v>
      </c>
      <c r="F140" s="6">
        <v>-1</v>
      </c>
      <c r="G140" s="6" t="s">
        <v>793</v>
      </c>
      <c r="H140" s="6"/>
      <c r="I140" s="6"/>
      <c r="J140" s="6"/>
      <c r="K140" s="6"/>
    </row>
    <row r="141" spans="1:11">
      <c r="A141" s="6" t="s">
        <v>1440</v>
      </c>
      <c r="B141" s="6" t="s">
        <v>1439</v>
      </c>
      <c r="C141" s="6">
        <v>1</v>
      </c>
      <c r="D141" s="6" t="s">
        <v>1041</v>
      </c>
      <c r="E141" s="6" t="s">
        <v>53</v>
      </c>
      <c r="F141" s="6">
        <v>-1</v>
      </c>
      <c r="G141" s="6" t="s">
        <v>793</v>
      </c>
      <c r="H141" s="6"/>
      <c r="I141" s="6"/>
      <c r="J141" s="6"/>
      <c r="K141" s="6"/>
    </row>
    <row r="142" spans="1:11">
      <c r="A142" s="6" t="s">
        <v>1441</v>
      </c>
      <c r="B142" s="6" t="s">
        <v>1439</v>
      </c>
      <c r="C142" s="6">
        <v>1</v>
      </c>
      <c r="D142" s="6" t="s">
        <v>1041</v>
      </c>
      <c r="E142" s="6" t="s">
        <v>46</v>
      </c>
      <c r="F142" s="6">
        <v>-1</v>
      </c>
      <c r="G142" s="6" t="s">
        <v>793</v>
      </c>
      <c r="H142" s="6"/>
      <c r="I142" s="6"/>
      <c r="J142" s="6"/>
      <c r="K142" s="6"/>
    </row>
    <row r="143" spans="1:11">
      <c r="A143" s="6" t="s">
        <v>1442</v>
      </c>
      <c r="B143" s="6" t="s">
        <v>1439</v>
      </c>
      <c r="C143" s="6">
        <v>1</v>
      </c>
      <c r="D143" s="6" t="s">
        <v>1041</v>
      </c>
      <c r="E143" s="6" t="s">
        <v>46</v>
      </c>
      <c r="F143" s="6">
        <v>-1</v>
      </c>
      <c r="G143" s="6" t="s">
        <v>793</v>
      </c>
      <c r="H143" s="6"/>
      <c r="I143" s="6"/>
      <c r="J143" s="6"/>
      <c r="K143" s="6"/>
    </row>
    <row r="144" spans="1:11">
      <c r="A144" s="6" t="s">
        <v>1443</v>
      </c>
      <c r="B144" s="6" t="s">
        <v>1439</v>
      </c>
      <c r="C144" s="6">
        <v>1</v>
      </c>
      <c r="D144" s="6" t="s">
        <v>1041</v>
      </c>
      <c r="E144" s="6" t="s">
        <v>46</v>
      </c>
      <c r="F144" s="6">
        <v>-1</v>
      </c>
      <c r="G144" s="6" t="s">
        <v>793</v>
      </c>
      <c r="H144" s="6"/>
      <c r="I144" s="6"/>
      <c r="J144" s="6"/>
      <c r="K144" s="6"/>
    </row>
    <row r="145" spans="1:11">
      <c r="A145" s="6" t="s">
        <v>1444</v>
      </c>
      <c r="B145" s="6" t="s">
        <v>1439</v>
      </c>
      <c r="C145" s="6">
        <v>1</v>
      </c>
      <c r="D145" s="6" t="s">
        <v>1041</v>
      </c>
      <c r="E145" s="6" t="s">
        <v>46</v>
      </c>
      <c r="F145" s="6">
        <v>-1</v>
      </c>
      <c r="G145" s="6" t="s">
        <v>793</v>
      </c>
      <c r="H145" s="6"/>
      <c r="I145" s="6"/>
      <c r="J145" s="6"/>
      <c r="K145" s="6"/>
    </row>
    <row r="146" spans="1:11">
      <c r="A146" s="6" t="s">
        <v>1445</v>
      </c>
      <c r="B146" s="6" t="s">
        <v>1439</v>
      </c>
      <c r="C146" s="6">
        <v>1</v>
      </c>
      <c r="D146" s="6" t="s">
        <v>1041</v>
      </c>
      <c r="E146" s="6" t="s">
        <v>46</v>
      </c>
      <c r="F146" s="6">
        <v>-1</v>
      </c>
      <c r="G146" s="6" t="s">
        <v>793</v>
      </c>
      <c r="H146" s="6"/>
      <c r="I146" s="6"/>
      <c r="J146" s="6"/>
      <c r="K146" s="6"/>
    </row>
    <row r="147" spans="1:11">
      <c r="A147" s="6" t="s">
        <v>1446</v>
      </c>
      <c r="B147" s="6" t="s">
        <v>1439</v>
      </c>
      <c r="C147" s="6">
        <v>1</v>
      </c>
      <c r="D147" s="6" t="s">
        <v>1041</v>
      </c>
      <c r="E147" s="6" t="s">
        <v>837</v>
      </c>
      <c r="F147" s="6">
        <v>-1</v>
      </c>
      <c r="G147" s="6" t="s">
        <v>793</v>
      </c>
      <c r="H147" s="6"/>
      <c r="I147" s="6"/>
      <c r="J147" s="6"/>
      <c r="K147" s="6"/>
    </row>
    <row r="148" spans="1:11">
      <c r="A148" s="6" t="s">
        <v>1447</v>
      </c>
      <c r="B148" s="6" t="s">
        <v>1439</v>
      </c>
      <c r="C148" s="6">
        <v>1</v>
      </c>
      <c r="D148" s="6" t="s">
        <v>1041</v>
      </c>
      <c r="E148" s="6" t="s">
        <v>47</v>
      </c>
      <c r="F148" s="6">
        <v>-1</v>
      </c>
      <c r="G148" s="6" t="s">
        <v>793</v>
      </c>
      <c r="H148" s="6"/>
      <c r="I148" s="6"/>
      <c r="J148" s="6"/>
      <c r="K148" s="6"/>
    </row>
    <row r="149" spans="1:11">
      <c r="A149" s="6" t="s">
        <v>1448</v>
      </c>
      <c r="B149" s="6" t="s">
        <v>1439</v>
      </c>
      <c r="C149" s="6">
        <v>1</v>
      </c>
      <c r="D149" s="6" t="s">
        <v>1041</v>
      </c>
      <c r="E149" s="6" t="s">
        <v>46</v>
      </c>
      <c r="F149" s="6">
        <v>-1</v>
      </c>
      <c r="G149" s="6" t="s">
        <v>793</v>
      </c>
      <c r="H149" s="6"/>
      <c r="I149" s="6"/>
      <c r="J149" s="6"/>
      <c r="K149" s="6"/>
    </row>
    <row r="150" spans="1:11">
      <c r="A150" s="6" t="s">
        <v>1449</v>
      </c>
      <c r="B150" s="6" t="s">
        <v>1439</v>
      </c>
      <c r="C150" s="6">
        <v>1</v>
      </c>
      <c r="D150" s="6" t="s">
        <v>1041</v>
      </c>
      <c r="E150" s="6" t="s">
        <v>46</v>
      </c>
      <c r="F150" s="6">
        <v>-1</v>
      </c>
      <c r="G150" s="6" t="s">
        <v>793</v>
      </c>
      <c r="H150" s="6"/>
      <c r="I150" s="6"/>
      <c r="J150" s="6"/>
      <c r="K150" s="6"/>
    </row>
    <row r="151" spans="1:11">
      <c r="A151" s="6" t="s">
        <v>1045</v>
      </c>
      <c r="B151" s="6" t="s">
        <v>1450</v>
      </c>
      <c r="C151" s="6">
        <v>1</v>
      </c>
      <c r="D151" s="6" t="s">
        <v>1041</v>
      </c>
      <c r="E151" s="6" t="s">
        <v>46</v>
      </c>
      <c r="F151" s="6">
        <v>-1</v>
      </c>
      <c r="G151" s="6" t="s">
        <v>793</v>
      </c>
      <c r="H151" s="6"/>
      <c r="I151" s="6"/>
      <c r="J151" s="6"/>
      <c r="K151" s="6"/>
    </row>
    <row r="152" spans="1:11">
      <c r="A152" s="6" t="s">
        <v>1008</v>
      </c>
      <c r="B152" s="6" t="s">
        <v>1450</v>
      </c>
      <c r="C152" s="6">
        <v>1</v>
      </c>
      <c r="D152" s="6" t="s">
        <v>1041</v>
      </c>
      <c r="E152" s="6" t="s">
        <v>46</v>
      </c>
      <c r="F152" s="6">
        <v>-1</v>
      </c>
      <c r="G152" s="6" t="s">
        <v>793</v>
      </c>
      <c r="H152" s="6"/>
      <c r="I152" s="6"/>
      <c r="J152" s="6"/>
      <c r="K152" s="6"/>
    </row>
    <row r="153" spans="1:11">
      <c r="A153" s="6" t="s">
        <v>1028</v>
      </c>
      <c r="B153" s="6" t="s">
        <v>1450</v>
      </c>
      <c r="C153" s="6">
        <v>1</v>
      </c>
      <c r="D153" s="6" t="s">
        <v>1041</v>
      </c>
      <c r="E153" s="6" t="s">
        <v>46</v>
      </c>
      <c r="F153" s="6">
        <v>-1</v>
      </c>
      <c r="G153" s="6" t="s">
        <v>793</v>
      </c>
      <c r="H153" s="6"/>
      <c r="I153" s="6"/>
      <c r="J153" s="6"/>
      <c r="K153" s="6"/>
    </row>
    <row r="154" spans="1:11">
      <c r="A154" s="6" t="s">
        <v>1026</v>
      </c>
      <c r="B154" s="6" t="s">
        <v>1450</v>
      </c>
      <c r="C154" s="6">
        <v>1</v>
      </c>
      <c r="D154" s="6" t="s">
        <v>1041</v>
      </c>
      <c r="E154" s="6" t="s">
        <v>46</v>
      </c>
      <c r="F154" s="6">
        <v>-1</v>
      </c>
      <c r="G154" s="6" t="s">
        <v>793</v>
      </c>
      <c r="H154" s="6"/>
      <c r="I154" s="6"/>
      <c r="J154" s="6"/>
      <c r="K154" s="6"/>
    </row>
    <row r="155" spans="1:11">
      <c r="A155" s="6" t="s">
        <v>1022</v>
      </c>
      <c r="B155" s="6" t="s">
        <v>1450</v>
      </c>
      <c r="C155" s="6">
        <v>1</v>
      </c>
      <c r="D155" s="6" t="s">
        <v>1041</v>
      </c>
      <c r="E155" s="6" t="s">
        <v>46</v>
      </c>
      <c r="F155" s="6">
        <v>-1</v>
      </c>
      <c r="G155" s="6" t="s">
        <v>793</v>
      </c>
      <c r="H155" s="6"/>
      <c r="I155" s="6"/>
      <c r="J155" s="6"/>
      <c r="K155" s="6"/>
    </row>
    <row r="156" spans="1:11">
      <c r="A156" s="6" t="s">
        <v>1024</v>
      </c>
      <c r="B156" s="6" t="s">
        <v>1450</v>
      </c>
      <c r="C156" s="6">
        <v>1</v>
      </c>
      <c r="D156" s="6" t="s">
        <v>1041</v>
      </c>
      <c r="E156" s="6" t="s">
        <v>46</v>
      </c>
      <c r="F156" s="6">
        <v>-1</v>
      </c>
      <c r="G156" s="6" t="s">
        <v>793</v>
      </c>
      <c r="H156" s="6"/>
      <c r="I156" s="6"/>
      <c r="J156" s="6"/>
      <c r="K156" s="6"/>
    </row>
    <row r="157" spans="1:11">
      <c r="A157" s="6" t="s">
        <v>1145</v>
      </c>
      <c r="B157" s="6" t="s">
        <v>1451</v>
      </c>
      <c r="C157" s="6">
        <v>1</v>
      </c>
      <c r="D157" s="6" t="s">
        <v>1041</v>
      </c>
      <c r="E157" s="6" t="s">
        <v>45</v>
      </c>
      <c r="F157" s="6">
        <v>-1</v>
      </c>
      <c r="G157" s="6" t="s">
        <v>793</v>
      </c>
      <c r="H157" s="6"/>
      <c r="I157" s="6"/>
      <c r="J157" s="6"/>
      <c r="K157" s="6"/>
    </row>
    <row r="158" spans="1:11">
      <c r="A158" s="6" t="s">
        <v>1147</v>
      </c>
      <c r="B158" s="6" t="s">
        <v>1451</v>
      </c>
      <c r="C158" s="6">
        <v>1</v>
      </c>
      <c r="D158" s="6" t="s">
        <v>1041</v>
      </c>
      <c r="E158" s="6" t="s">
        <v>45</v>
      </c>
      <c r="F158" s="6">
        <v>-1</v>
      </c>
      <c r="G158" s="6" t="s">
        <v>793</v>
      </c>
      <c r="H158" s="6"/>
      <c r="I158" s="6"/>
      <c r="J158" s="6"/>
      <c r="K158" s="6"/>
    </row>
    <row r="159" spans="1:11">
      <c r="A159" s="6" t="s">
        <v>1149</v>
      </c>
      <c r="B159" s="6" t="s">
        <v>1451</v>
      </c>
      <c r="C159" s="6">
        <v>1</v>
      </c>
      <c r="D159" s="6" t="s">
        <v>1041</v>
      </c>
      <c r="E159" s="6" t="s">
        <v>45</v>
      </c>
      <c r="F159" s="6">
        <v>-1</v>
      </c>
      <c r="G159" s="6" t="s">
        <v>793</v>
      </c>
      <c r="H159" s="6"/>
      <c r="I159" s="6"/>
      <c r="J159" s="6"/>
      <c r="K159" s="6"/>
    </row>
    <row r="160" spans="1:11">
      <c r="A160" s="6" t="s">
        <v>1151</v>
      </c>
      <c r="B160" s="6" t="s">
        <v>1451</v>
      </c>
      <c r="C160" s="6">
        <v>1</v>
      </c>
      <c r="D160" s="6" t="s">
        <v>1041</v>
      </c>
      <c r="E160" s="6" t="s">
        <v>45</v>
      </c>
      <c r="F160" s="6">
        <v>-1</v>
      </c>
      <c r="G160" s="6" t="s">
        <v>793</v>
      </c>
      <c r="H160" s="6"/>
      <c r="I160" s="6"/>
      <c r="J160" s="6"/>
      <c r="K160" s="6"/>
    </row>
    <row r="161" spans="1:11">
      <c r="A161" s="6" t="s">
        <v>1153</v>
      </c>
      <c r="B161" s="6" t="s">
        <v>1451</v>
      </c>
      <c r="C161" s="6">
        <v>1</v>
      </c>
      <c r="D161" s="6" t="s">
        <v>1041</v>
      </c>
      <c r="E161" s="6" t="s">
        <v>45</v>
      </c>
      <c r="F161" s="6">
        <v>-1</v>
      </c>
      <c r="G161" s="6" t="s">
        <v>793</v>
      </c>
      <c r="H161" s="6"/>
      <c r="I161" s="6"/>
      <c r="J161" s="6"/>
      <c r="K161" s="6"/>
    </row>
    <row r="162" spans="1:11">
      <c r="A162" s="6" t="s">
        <v>1155</v>
      </c>
      <c r="B162" s="6" t="s">
        <v>1451</v>
      </c>
      <c r="C162" s="6">
        <v>1</v>
      </c>
      <c r="D162" s="6" t="s">
        <v>1041</v>
      </c>
      <c r="E162" s="6" t="s">
        <v>45</v>
      </c>
      <c r="F162" s="6">
        <v>-1</v>
      </c>
      <c r="G162" s="6" t="s">
        <v>793</v>
      </c>
      <c r="H162" s="6"/>
      <c r="I162" s="6"/>
      <c r="J162" s="6"/>
      <c r="K162" s="6"/>
    </row>
    <row r="163" spans="1:11">
      <c r="A163" s="6" t="s">
        <v>1157</v>
      </c>
      <c r="B163" s="6" t="s">
        <v>1451</v>
      </c>
      <c r="C163" s="6">
        <v>1</v>
      </c>
      <c r="D163" s="6" t="s">
        <v>1041</v>
      </c>
      <c r="E163" s="6" t="s">
        <v>45</v>
      </c>
      <c r="F163" s="6">
        <v>-1</v>
      </c>
      <c r="G163" s="6" t="s">
        <v>793</v>
      </c>
      <c r="H163" s="6"/>
      <c r="I163" s="6"/>
      <c r="J163" s="6"/>
      <c r="K163" s="6"/>
    </row>
    <row r="164" spans="1:11">
      <c r="A164" s="6" t="s">
        <v>1159</v>
      </c>
      <c r="B164" s="6" t="s">
        <v>1451</v>
      </c>
      <c r="C164" s="6">
        <v>1</v>
      </c>
      <c r="D164" s="6" t="s">
        <v>1041</v>
      </c>
      <c r="E164" s="6" t="s">
        <v>45</v>
      </c>
      <c r="F164" s="6">
        <v>-1</v>
      </c>
      <c r="G164" s="6" t="s">
        <v>793</v>
      </c>
      <c r="H164" s="6"/>
      <c r="I164" s="6"/>
      <c r="J164" s="6"/>
      <c r="K164" s="6"/>
    </row>
    <row r="165" spans="1:11">
      <c r="A165" s="6" t="s">
        <v>1161</v>
      </c>
      <c r="B165" s="6" t="s">
        <v>1451</v>
      </c>
      <c r="C165" s="6">
        <v>1</v>
      </c>
      <c r="D165" s="6" t="s">
        <v>1041</v>
      </c>
      <c r="E165" s="6" t="s">
        <v>45</v>
      </c>
      <c r="F165" s="6">
        <v>-1</v>
      </c>
      <c r="G165" s="6" t="s">
        <v>793</v>
      </c>
      <c r="H165" s="6"/>
      <c r="I165" s="6"/>
      <c r="J165" s="6"/>
      <c r="K165" s="6"/>
    </row>
    <row r="166" spans="1:11">
      <c r="A166" s="6" t="s">
        <v>1163</v>
      </c>
      <c r="B166" s="6" t="s">
        <v>1451</v>
      </c>
      <c r="C166" s="6">
        <v>1</v>
      </c>
      <c r="D166" s="6" t="s">
        <v>1041</v>
      </c>
      <c r="E166" s="6" t="s">
        <v>45</v>
      </c>
      <c r="F166" s="6">
        <v>-1</v>
      </c>
      <c r="G166" s="6" t="s">
        <v>793</v>
      </c>
      <c r="H166" s="6"/>
      <c r="I166" s="6"/>
      <c r="J166" s="6"/>
      <c r="K166" s="6"/>
    </row>
    <row r="167" spans="1:11">
      <c r="A167" s="6" t="s">
        <v>1165</v>
      </c>
      <c r="B167" s="6" t="s">
        <v>1451</v>
      </c>
      <c r="C167" s="6">
        <v>1</v>
      </c>
      <c r="D167" s="6" t="s">
        <v>1041</v>
      </c>
      <c r="E167" s="6" t="s">
        <v>45</v>
      </c>
      <c r="F167" s="6">
        <v>-1</v>
      </c>
      <c r="G167" s="6" t="s">
        <v>793</v>
      </c>
      <c r="H167" s="6"/>
      <c r="I167" s="6"/>
      <c r="J167" s="6"/>
      <c r="K167" s="6"/>
    </row>
    <row r="168" spans="1:11">
      <c r="A168" s="6" t="s">
        <v>1167</v>
      </c>
      <c r="B168" s="6" t="s">
        <v>1451</v>
      </c>
      <c r="C168" s="6">
        <v>1</v>
      </c>
      <c r="D168" s="6" t="s">
        <v>1041</v>
      </c>
      <c r="E168" s="6" t="s">
        <v>45</v>
      </c>
      <c r="F168" s="6">
        <v>-1</v>
      </c>
      <c r="G168" s="6" t="s">
        <v>793</v>
      </c>
      <c r="H168" s="6"/>
      <c r="I168" s="6"/>
      <c r="J168" s="6"/>
      <c r="K168" s="6"/>
    </row>
    <row r="169" spans="1:11">
      <c r="A169" s="6" t="s">
        <v>1169</v>
      </c>
      <c r="B169" s="6" t="s">
        <v>1451</v>
      </c>
      <c r="C169" s="6">
        <v>1</v>
      </c>
      <c r="D169" s="6" t="s">
        <v>1041</v>
      </c>
      <c r="E169" s="6" t="s">
        <v>45</v>
      </c>
      <c r="F169" s="6">
        <v>-1</v>
      </c>
      <c r="G169" s="6" t="s">
        <v>793</v>
      </c>
      <c r="H169" s="6"/>
      <c r="I169" s="6"/>
      <c r="J169" s="6"/>
      <c r="K169" s="6"/>
    </row>
    <row r="170" spans="1:11">
      <c r="A170" s="6" t="s">
        <v>1171</v>
      </c>
      <c r="B170" s="6" t="s">
        <v>1451</v>
      </c>
      <c r="C170" s="6">
        <v>1</v>
      </c>
      <c r="D170" s="6" t="s">
        <v>1041</v>
      </c>
      <c r="E170" s="6" t="s">
        <v>45</v>
      </c>
      <c r="F170" s="6">
        <v>-1</v>
      </c>
      <c r="G170" s="6" t="s">
        <v>793</v>
      </c>
      <c r="H170" s="6"/>
      <c r="I170" s="6"/>
      <c r="J170" s="6"/>
      <c r="K170" s="6"/>
    </row>
    <row r="171" spans="1:11">
      <c r="A171" s="6" t="s">
        <v>1199</v>
      </c>
      <c r="B171" s="6" t="s">
        <v>1451</v>
      </c>
      <c r="C171" s="6">
        <v>1</v>
      </c>
      <c r="D171" s="6" t="s">
        <v>1041</v>
      </c>
      <c r="E171" s="6" t="s">
        <v>45</v>
      </c>
      <c r="F171" s="6">
        <v>-1</v>
      </c>
      <c r="G171" s="6" t="s">
        <v>793</v>
      </c>
      <c r="H171" s="6"/>
      <c r="I171" s="6"/>
      <c r="J171" s="6"/>
      <c r="K171" s="6"/>
    </row>
    <row r="172" spans="1:11">
      <c r="A172" s="6" t="s">
        <v>1200</v>
      </c>
      <c r="B172" s="6" t="s">
        <v>1451</v>
      </c>
      <c r="C172" s="6">
        <v>1</v>
      </c>
      <c r="D172" s="6" t="s">
        <v>1041</v>
      </c>
      <c r="E172" s="6" t="s">
        <v>45</v>
      </c>
      <c r="F172" s="6">
        <v>-1</v>
      </c>
      <c r="G172" s="6" t="s">
        <v>793</v>
      </c>
      <c r="H172" s="6"/>
      <c r="I172" s="6"/>
      <c r="J172" s="6"/>
      <c r="K172" s="6"/>
    </row>
    <row r="173" spans="1:11">
      <c r="A173" s="6" t="s">
        <v>1173</v>
      </c>
      <c r="B173" s="6" t="s">
        <v>1451</v>
      </c>
      <c r="C173" s="6">
        <v>1</v>
      </c>
      <c r="D173" s="6" t="s">
        <v>1041</v>
      </c>
      <c r="E173" s="6" t="s">
        <v>1452</v>
      </c>
      <c r="F173" s="6">
        <v>-1</v>
      </c>
      <c r="G173" s="6" t="s">
        <v>793</v>
      </c>
      <c r="H173" s="6"/>
      <c r="I173" s="6"/>
      <c r="J173" s="6"/>
      <c r="K173" s="6"/>
    </row>
    <row r="174" spans="1:11">
      <c r="A174" s="6" t="s">
        <v>1177</v>
      </c>
      <c r="B174" s="6" t="s">
        <v>1451</v>
      </c>
      <c r="C174" s="6">
        <v>1</v>
      </c>
      <c r="D174" s="6" t="s">
        <v>1041</v>
      </c>
      <c r="E174" s="6" t="s">
        <v>1452</v>
      </c>
      <c r="F174" s="6">
        <v>-1</v>
      </c>
      <c r="G174" s="6" t="s">
        <v>793</v>
      </c>
      <c r="H174" s="6"/>
      <c r="I174" s="6"/>
      <c r="J174" s="6"/>
      <c r="K174" s="6"/>
    </row>
    <row r="175" spans="1:11">
      <c r="A175" s="6" t="s">
        <v>1179</v>
      </c>
      <c r="B175" s="6" t="s">
        <v>1451</v>
      </c>
      <c r="C175" s="6">
        <v>1</v>
      </c>
      <c r="D175" s="6" t="s">
        <v>1041</v>
      </c>
      <c r="E175" s="6" t="s">
        <v>1452</v>
      </c>
      <c r="F175" s="6">
        <v>-1</v>
      </c>
      <c r="G175" s="6" t="s">
        <v>793</v>
      </c>
      <c r="H175" s="6"/>
      <c r="I175" s="6"/>
      <c r="J175" s="6"/>
      <c r="K175" s="6"/>
    </row>
    <row r="176" spans="1:11">
      <c r="A176" s="6" t="s">
        <v>1181</v>
      </c>
      <c r="B176" s="6" t="s">
        <v>1451</v>
      </c>
      <c r="C176" s="6">
        <v>1</v>
      </c>
      <c r="D176" s="6" t="s">
        <v>1041</v>
      </c>
      <c r="E176" s="6" t="s">
        <v>1452</v>
      </c>
      <c r="F176" s="6">
        <v>-1</v>
      </c>
      <c r="G176" s="6" t="s">
        <v>793</v>
      </c>
      <c r="H176" s="6"/>
      <c r="I176" s="6"/>
      <c r="J176" s="6"/>
      <c r="K176" s="6"/>
    </row>
    <row r="177" spans="1:11">
      <c r="A177" s="6" t="s">
        <v>1183</v>
      </c>
      <c r="B177" s="6" t="s">
        <v>1451</v>
      </c>
      <c r="C177" s="6">
        <v>1</v>
      </c>
      <c r="D177" s="6" t="s">
        <v>1041</v>
      </c>
      <c r="E177" s="6" t="s">
        <v>1452</v>
      </c>
      <c r="F177" s="6">
        <v>-1</v>
      </c>
      <c r="G177" s="6" t="s">
        <v>793</v>
      </c>
      <c r="H177" s="6"/>
      <c r="I177" s="6"/>
      <c r="J177" s="6"/>
      <c r="K177" s="6"/>
    </row>
    <row r="178" spans="1:11">
      <c r="A178" s="6" t="s">
        <v>1185</v>
      </c>
      <c r="B178" s="6" t="s">
        <v>1451</v>
      </c>
      <c r="C178" s="6">
        <v>1</v>
      </c>
      <c r="D178" s="6" t="s">
        <v>1041</v>
      </c>
      <c r="E178" s="6" t="s">
        <v>1452</v>
      </c>
      <c r="F178" s="6">
        <v>-1</v>
      </c>
      <c r="G178" s="6" t="s">
        <v>793</v>
      </c>
      <c r="H178" s="6"/>
      <c r="I178" s="6"/>
      <c r="J178" s="6"/>
      <c r="K178" s="6"/>
    </row>
    <row r="179" spans="1:11">
      <c r="A179" s="6" t="s">
        <v>1187</v>
      </c>
      <c r="B179" s="6" t="s">
        <v>1451</v>
      </c>
      <c r="C179" s="6">
        <v>1</v>
      </c>
      <c r="D179" s="6" t="s">
        <v>1041</v>
      </c>
      <c r="E179" s="6" t="s">
        <v>1452</v>
      </c>
      <c r="F179" s="6">
        <v>-1</v>
      </c>
      <c r="G179" s="6" t="s">
        <v>793</v>
      </c>
      <c r="H179" s="6"/>
      <c r="I179" s="6"/>
      <c r="J179" s="6"/>
      <c r="K179" s="6"/>
    </row>
    <row r="180" spans="1:11">
      <c r="A180" s="6" t="s">
        <v>1189</v>
      </c>
      <c r="B180" s="6" t="s">
        <v>1451</v>
      </c>
      <c r="C180" s="6">
        <v>1</v>
      </c>
      <c r="D180" s="6" t="s">
        <v>1041</v>
      </c>
      <c r="E180" s="6" t="s">
        <v>1452</v>
      </c>
      <c r="F180" s="6">
        <v>-1</v>
      </c>
      <c r="G180" s="6" t="s">
        <v>793</v>
      </c>
      <c r="H180" s="6"/>
      <c r="I180" s="6"/>
      <c r="J180" s="6"/>
      <c r="K180" s="6"/>
    </row>
    <row r="181" spans="1:11">
      <c r="A181" s="6" t="s">
        <v>1191</v>
      </c>
      <c r="B181" s="6" t="s">
        <v>1451</v>
      </c>
      <c r="C181" s="6">
        <v>1</v>
      </c>
      <c r="D181" s="6" t="s">
        <v>1041</v>
      </c>
      <c r="E181" s="6" t="s">
        <v>1452</v>
      </c>
      <c r="F181" s="6">
        <v>-1</v>
      </c>
      <c r="G181" s="6" t="s">
        <v>793</v>
      </c>
      <c r="H181" s="6"/>
      <c r="I181" s="6"/>
      <c r="J181" s="6"/>
      <c r="K181" s="6"/>
    </row>
    <row r="182" spans="1:11">
      <c r="A182" s="6" t="s">
        <v>1193</v>
      </c>
      <c r="B182" s="6" t="s">
        <v>1451</v>
      </c>
      <c r="C182" s="6">
        <v>1</v>
      </c>
      <c r="D182" s="6" t="s">
        <v>1041</v>
      </c>
      <c r="E182" s="6" t="s">
        <v>1452</v>
      </c>
      <c r="F182" s="6">
        <v>-1</v>
      </c>
      <c r="G182" s="6" t="s">
        <v>793</v>
      </c>
      <c r="H182" s="6"/>
      <c r="I182" s="6"/>
      <c r="J182" s="6"/>
      <c r="K182" s="6"/>
    </row>
    <row r="183" spans="1:11">
      <c r="A183" s="6" t="s">
        <v>1195</v>
      </c>
      <c r="B183" s="6" t="s">
        <v>1451</v>
      </c>
      <c r="C183" s="6">
        <v>1</v>
      </c>
      <c r="D183" s="6" t="s">
        <v>1041</v>
      </c>
      <c r="E183" s="6" t="s">
        <v>1452</v>
      </c>
      <c r="F183" s="6">
        <v>-1</v>
      </c>
      <c r="G183" s="6" t="s">
        <v>793</v>
      </c>
      <c r="H183" s="6"/>
      <c r="I183" s="6"/>
      <c r="J183" s="6"/>
      <c r="K183" s="6"/>
    </row>
    <row r="184" spans="1:11">
      <c r="A184" s="6" t="s">
        <v>1197</v>
      </c>
      <c r="B184" s="6" t="s">
        <v>1451</v>
      </c>
      <c r="C184" s="6">
        <v>1</v>
      </c>
      <c r="D184" s="6" t="s">
        <v>1041</v>
      </c>
      <c r="E184" s="6" t="s">
        <v>1452</v>
      </c>
      <c r="F184" s="6">
        <v>-1</v>
      </c>
      <c r="G184" s="6" t="s">
        <v>793</v>
      </c>
      <c r="H184" s="6"/>
      <c r="I184" s="6"/>
      <c r="J184" s="6"/>
      <c r="K184" s="6"/>
    </row>
    <row r="185" spans="1:11">
      <c r="A185" s="6" t="s">
        <v>1453</v>
      </c>
      <c r="B185" s="6" t="s">
        <v>1454</v>
      </c>
      <c r="C185" s="6">
        <v>1</v>
      </c>
      <c r="D185" s="6" t="s">
        <v>1041</v>
      </c>
      <c r="E185" s="6" t="s">
        <v>45</v>
      </c>
      <c r="F185" s="6">
        <v>-1</v>
      </c>
      <c r="G185" s="6" t="s">
        <v>793</v>
      </c>
      <c r="H185" s="6"/>
      <c r="I185" s="6"/>
      <c r="J185" s="6"/>
      <c r="K185" s="6"/>
    </row>
    <row r="186" spans="1:11">
      <c r="A186" s="6" t="s">
        <v>1455</v>
      </c>
      <c r="B186" s="6" t="s">
        <v>1454</v>
      </c>
      <c r="C186" s="6">
        <v>1</v>
      </c>
      <c r="D186" s="6" t="s">
        <v>1041</v>
      </c>
      <c r="E186" s="6" t="s">
        <v>46</v>
      </c>
      <c r="F186" s="6">
        <v>-1</v>
      </c>
      <c r="G186" s="6" t="s">
        <v>793</v>
      </c>
      <c r="H186" s="6"/>
      <c r="I186" s="6"/>
      <c r="J186" s="6"/>
      <c r="K186" s="6"/>
    </row>
    <row r="187" spans="1:11">
      <c r="A187" s="6" t="s">
        <v>1456</v>
      </c>
      <c r="B187" s="6" t="s">
        <v>1454</v>
      </c>
      <c r="C187" s="6">
        <v>1</v>
      </c>
      <c r="D187" s="6" t="s">
        <v>1041</v>
      </c>
      <c r="E187" s="6" t="s">
        <v>38</v>
      </c>
      <c r="F187" s="6">
        <v>-1</v>
      </c>
      <c r="G187" s="6" t="s">
        <v>793</v>
      </c>
      <c r="H187" s="6"/>
      <c r="I187" s="6"/>
      <c r="J187" s="6"/>
      <c r="K187" s="6"/>
    </row>
    <row r="188" spans="1:11">
      <c r="A188" s="6" t="s">
        <v>1457</v>
      </c>
      <c r="B188" s="6" t="s">
        <v>1458</v>
      </c>
      <c r="C188" s="6">
        <v>1</v>
      </c>
      <c r="D188" s="6" t="s">
        <v>1041</v>
      </c>
      <c r="E188" s="6" t="s">
        <v>45</v>
      </c>
      <c r="F188" s="6">
        <v>-1</v>
      </c>
      <c r="G188" s="6" t="s">
        <v>793</v>
      </c>
      <c r="H188" s="6"/>
      <c r="I188" s="6"/>
      <c r="J188" s="6"/>
      <c r="K188" s="6"/>
    </row>
    <row r="189" spans="1:11">
      <c r="A189" s="6" t="s">
        <v>1459</v>
      </c>
      <c r="B189" s="6" t="s">
        <v>1458</v>
      </c>
      <c r="C189" s="6">
        <v>1</v>
      </c>
      <c r="D189" s="6" t="s">
        <v>1041</v>
      </c>
      <c r="E189" s="6" t="s">
        <v>45</v>
      </c>
      <c r="F189" s="6">
        <v>-1</v>
      </c>
      <c r="G189" s="6" t="s">
        <v>793</v>
      </c>
      <c r="H189" s="6"/>
      <c r="I189" s="6"/>
      <c r="J189" s="6"/>
      <c r="K189" s="6"/>
    </row>
    <row r="190" spans="1:11">
      <c r="A190" s="6" t="s">
        <v>1460</v>
      </c>
      <c r="B190" s="6" t="s">
        <v>1458</v>
      </c>
      <c r="C190" s="6">
        <v>1</v>
      </c>
      <c r="D190" s="6" t="s">
        <v>1041</v>
      </c>
      <c r="E190" s="6" t="s">
        <v>45</v>
      </c>
      <c r="F190" s="6">
        <v>-1</v>
      </c>
      <c r="G190" s="6" t="s">
        <v>793</v>
      </c>
      <c r="H190" s="6"/>
      <c r="I190" s="6"/>
      <c r="J190" s="6"/>
      <c r="K190" s="6"/>
    </row>
    <row r="191" spans="1:11">
      <c r="A191" s="6" t="s">
        <v>1461</v>
      </c>
      <c r="B191" s="6" t="s">
        <v>1458</v>
      </c>
      <c r="C191" s="6">
        <v>1</v>
      </c>
      <c r="D191" s="6" t="s">
        <v>1041</v>
      </c>
      <c r="E191" s="6" t="s">
        <v>45</v>
      </c>
      <c r="F191" s="6">
        <v>-1</v>
      </c>
      <c r="G191" s="6" t="s">
        <v>793</v>
      </c>
      <c r="H191" s="6"/>
      <c r="I191" s="6"/>
      <c r="J191" s="6"/>
      <c r="K191" s="6"/>
    </row>
    <row r="192" spans="1:11">
      <c r="A192" s="6" t="s">
        <v>1462</v>
      </c>
      <c r="B192" s="6" t="s">
        <v>1458</v>
      </c>
      <c r="C192" s="6">
        <v>1</v>
      </c>
      <c r="D192" s="6" t="s">
        <v>1041</v>
      </c>
      <c r="E192" s="6" t="s">
        <v>45</v>
      </c>
      <c r="F192" s="6">
        <v>-1</v>
      </c>
      <c r="G192" s="6" t="s">
        <v>793</v>
      </c>
      <c r="H192" s="6"/>
      <c r="I192" s="6"/>
      <c r="J192" s="6"/>
      <c r="K192" s="6"/>
    </row>
    <row r="193" spans="1:11">
      <c r="A193" s="6" t="s">
        <v>1463</v>
      </c>
      <c r="B193" s="6" t="s">
        <v>1464</v>
      </c>
      <c r="C193" s="6">
        <v>1</v>
      </c>
      <c r="D193" s="6" t="s">
        <v>1041</v>
      </c>
      <c r="E193" s="6" t="s">
        <v>45</v>
      </c>
      <c r="F193" s="6">
        <v>-1</v>
      </c>
      <c r="G193" s="6" t="s">
        <v>793</v>
      </c>
      <c r="H193" s="6"/>
      <c r="I193" s="6"/>
      <c r="J193" s="6"/>
      <c r="K193" s="6"/>
    </row>
    <row r="194" spans="1:11">
      <c r="A194" s="6" t="s">
        <v>1465</v>
      </c>
      <c r="B194" s="6" t="s">
        <v>1464</v>
      </c>
      <c r="C194" s="6">
        <v>1</v>
      </c>
      <c r="D194" s="6" t="s">
        <v>1041</v>
      </c>
      <c r="E194" s="6" t="s">
        <v>45</v>
      </c>
      <c r="F194" s="6">
        <v>-1</v>
      </c>
      <c r="G194" s="6" t="s">
        <v>793</v>
      </c>
      <c r="H194" s="6"/>
      <c r="I194" s="6"/>
      <c r="J194" s="6"/>
      <c r="K194" s="6"/>
    </row>
    <row r="195" spans="1:11">
      <c r="A195" s="6" t="s">
        <v>1466</v>
      </c>
      <c r="B195" s="6" t="s">
        <v>1464</v>
      </c>
      <c r="C195" s="6">
        <v>1</v>
      </c>
      <c r="D195" s="6" t="s">
        <v>1041</v>
      </c>
      <c r="E195" s="6" t="s">
        <v>45</v>
      </c>
      <c r="F195" s="6">
        <v>-1</v>
      </c>
      <c r="G195" s="6" t="s">
        <v>793</v>
      </c>
      <c r="H195" s="6"/>
      <c r="I195" s="6"/>
      <c r="J195" s="6"/>
      <c r="K195" s="6"/>
    </row>
    <row r="196" spans="1:11">
      <c r="A196" s="6" t="s">
        <v>1467</v>
      </c>
      <c r="B196" s="6" t="s">
        <v>1464</v>
      </c>
      <c r="C196" s="6">
        <v>1</v>
      </c>
      <c r="D196" s="6" t="s">
        <v>1041</v>
      </c>
      <c r="E196" s="6" t="s">
        <v>45</v>
      </c>
      <c r="F196" s="6">
        <v>-1</v>
      </c>
      <c r="G196" s="6" t="s">
        <v>793</v>
      </c>
      <c r="H196" s="6"/>
      <c r="I196" s="6"/>
      <c r="J196" s="6"/>
      <c r="K196" s="6"/>
    </row>
    <row r="197" spans="1:11">
      <c r="A197" s="6" t="s">
        <v>1468</v>
      </c>
      <c r="B197" s="6" t="s">
        <v>1464</v>
      </c>
      <c r="C197" s="6">
        <v>1</v>
      </c>
      <c r="D197" s="6" t="s">
        <v>1041</v>
      </c>
      <c r="E197" s="6" t="s">
        <v>45</v>
      </c>
      <c r="F197" s="6">
        <v>-1</v>
      </c>
      <c r="G197" s="6" t="s">
        <v>793</v>
      </c>
      <c r="H197" s="6"/>
      <c r="I197" s="6"/>
      <c r="J197" s="6"/>
      <c r="K197" s="6"/>
    </row>
    <row r="198" spans="1:11">
      <c r="A198" s="6" t="s">
        <v>1469</v>
      </c>
      <c r="B198" s="6" t="s">
        <v>1470</v>
      </c>
      <c r="C198" s="6">
        <v>1</v>
      </c>
      <c r="D198" s="6" t="s">
        <v>1041</v>
      </c>
      <c r="E198" s="6" t="s">
        <v>45</v>
      </c>
      <c r="F198" s="6">
        <v>-1</v>
      </c>
      <c r="G198" s="6" t="s">
        <v>793</v>
      </c>
      <c r="H198" s="6"/>
      <c r="I198" s="6"/>
      <c r="J198" s="6"/>
      <c r="K198" s="6"/>
    </row>
    <row r="199" spans="1:11">
      <c r="A199" s="6" t="s">
        <v>1471</v>
      </c>
      <c r="B199" s="6" t="s">
        <v>1470</v>
      </c>
      <c r="C199" s="6">
        <v>1</v>
      </c>
      <c r="D199" s="6" t="s">
        <v>1041</v>
      </c>
      <c r="E199" s="6" t="s">
        <v>45</v>
      </c>
      <c r="F199" s="6">
        <v>-1</v>
      </c>
      <c r="G199" s="6" t="s">
        <v>793</v>
      </c>
      <c r="H199" s="6"/>
      <c r="I199" s="6"/>
      <c r="J199" s="6"/>
      <c r="K199" s="6"/>
    </row>
    <row r="200" spans="1:11">
      <c r="A200" s="6" t="s">
        <v>1472</v>
      </c>
      <c r="B200" s="6" t="s">
        <v>1470</v>
      </c>
      <c r="C200" s="6">
        <v>1</v>
      </c>
      <c r="D200" s="6" t="s">
        <v>1041</v>
      </c>
      <c r="E200" s="6" t="s">
        <v>45</v>
      </c>
      <c r="F200" s="6">
        <v>-1</v>
      </c>
      <c r="G200" s="6" t="s">
        <v>793</v>
      </c>
      <c r="H200" s="6"/>
      <c r="I200" s="6"/>
      <c r="J200" s="6"/>
      <c r="K200" s="6"/>
    </row>
    <row r="201" spans="1:11">
      <c r="A201" s="6" t="s">
        <v>834</v>
      </c>
      <c r="B201" s="6" t="s">
        <v>1473</v>
      </c>
      <c r="C201" s="6">
        <v>1</v>
      </c>
      <c r="D201" s="6" t="s">
        <v>1041</v>
      </c>
      <c r="E201" s="6" t="s">
        <v>45</v>
      </c>
      <c r="F201" s="6">
        <v>-1</v>
      </c>
      <c r="G201" s="6" t="s">
        <v>793</v>
      </c>
      <c r="H201" s="6"/>
      <c r="I201" s="6"/>
      <c r="J201" s="6"/>
      <c r="K201" s="6"/>
    </row>
    <row r="202" spans="1:11">
      <c r="A202" s="6" t="s">
        <v>839</v>
      </c>
      <c r="B202" s="6" t="s">
        <v>1473</v>
      </c>
      <c r="C202" s="6">
        <v>1</v>
      </c>
      <c r="D202" s="6" t="s">
        <v>1041</v>
      </c>
      <c r="E202" s="6" t="s">
        <v>45</v>
      </c>
      <c r="F202" s="6">
        <v>-1</v>
      </c>
      <c r="G202" s="6" t="s">
        <v>793</v>
      </c>
      <c r="H202" s="6"/>
      <c r="I202" s="6"/>
      <c r="J202" s="6"/>
      <c r="K202" s="6"/>
    </row>
    <row r="203" spans="1:11">
      <c r="A203" s="6" t="s">
        <v>1474</v>
      </c>
      <c r="B203" s="6" t="s">
        <v>1473</v>
      </c>
      <c r="C203" s="6">
        <v>1</v>
      </c>
      <c r="D203" s="6" t="s">
        <v>1041</v>
      </c>
      <c r="E203" s="6" t="s">
        <v>45</v>
      </c>
      <c r="F203" s="6">
        <v>-1</v>
      </c>
      <c r="G203" s="6" t="s">
        <v>793</v>
      </c>
      <c r="H203" s="6"/>
      <c r="I203" s="6"/>
      <c r="J203" s="6"/>
      <c r="K203" s="6"/>
    </row>
    <row r="204" spans="1:11">
      <c r="A204" s="6" t="s">
        <v>836</v>
      </c>
      <c r="B204" s="6" t="s">
        <v>1473</v>
      </c>
      <c r="C204" s="6">
        <v>1</v>
      </c>
      <c r="D204" s="6" t="s">
        <v>1041</v>
      </c>
      <c r="E204" s="6" t="s">
        <v>837</v>
      </c>
      <c r="F204" s="6">
        <v>-1</v>
      </c>
      <c r="G204" s="6" t="s">
        <v>793</v>
      </c>
      <c r="H204" s="6"/>
      <c r="I204" s="6"/>
      <c r="J204" s="6"/>
      <c r="K204" s="6"/>
    </row>
    <row r="205" spans="1:11">
      <c r="A205" s="6" t="s">
        <v>1475</v>
      </c>
      <c r="B205" s="6" t="s">
        <v>1476</v>
      </c>
      <c r="C205" s="6">
        <v>1</v>
      </c>
      <c r="D205" s="6" t="s">
        <v>1041</v>
      </c>
      <c r="E205" s="6" t="s">
        <v>45</v>
      </c>
      <c r="F205" s="6">
        <v>-1</v>
      </c>
      <c r="G205" s="6" t="s">
        <v>793</v>
      </c>
      <c r="H205" s="6"/>
      <c r="I205" s="6"/>
      <c r="J205" s="6"/>
      <c r="K205" s="6"/>
    </row>
    <row r="206" spans="1:11">
      <c r="A206" s="6" t="s">
        <v>1477</v>
      </c>
      <c r="B206" s="6" t="s">
        <v>1476</v>
      </c>
      <c r="C206" s="6">
        <v>1</v>
      </c>
      <c r="D206" s="6" t="s">
        <v>1041</v>
      </c>
      <c r="E206" s="6" t="s">
        <v>45</v>
      </c>
      <c r="F206" s="6">
        <v>-1</v>
      </c>
      <c r="G206" s="6" t="s">
        <v>793</v>
      </c>
      <c r="H206" s="6"/>
      <c r="I206" s="6"/>
      <c r="J206" s="6"/>
      <c r="K206" s="6"/>
    </row>
    <row r="207" spans="1:11">
      <c r="A207" s="6" t="s">
        <v>1478</v>
      </c>
      <c r="B207" s="6" t="s">
        <v>1476</v>
      </c>
      <c r="C207" s="6">
        <v>1</v>
      </c>
      <c r="D207" s="6" t="s">
        <v>1041</v>
      </c>
      <c r="E207" s="6" t="s">
        <v>45</v>
      </c>
      <c r="F207" s="6">
        <v>-1</v>
      </c>
      <c r="G207" s="6" t="s">
        <v>793</v>
      </c>
      <c r="H207" s="6"/>
      <c r="I207" s="6"/>
      <c r="J207" s="6"/>
      <c r="K207" s="6"/>
    </row>
    <row r="208" spans="1:11">
      <c r="A208" s="6" t="s">
        <v>1479</v>
      </c>
      <c r="B208" s="6" t="s">
        <v>1476</v>
      </c>
      <c r="C208" s="6">
        <v>1</v>
      </c>
      <c r="D208" s="6" t="s">
        <v>1041</v>
      </c>
      <c r="E208" s="6" t="s">
        <v>46</v>
      </c>
      <c r="F208" s="6">
        <v>-1</v>
      </c>
      <c r="G208" s="6" t="s">
        <v>793</v>
      </c>
      <c r="H208" s="6"/>
      <c r="I208" s="6"/>
      <c r="J208" s="6"/>
      <c r="K208" s="6"/>
    </row>
    <row r="209" spans="1:11">
      <c r="A209" s="6" t="s">
        <v>1480</v>
      </c>
      <c r="B209" s="6" t="s">
        <v>1476</v>
      </c>
      <c r="C209" s="6">
        <v>1</v>
      </c>
      <c r="D209" s="6" t="s">
        <v>1041</v>
      </c>
      <c r="E209" s="6" t="s">
        <v>46</v>
      </c>
      <c r="F209" s="6">
        <v>-1</v>
      </c>
      <c r="G209" s="6" t="s">
        <v>793</v>
      </c>
      <c r="H209" s="6"/>
      <c r="I209" s="6"/>
      <c r="J209" s="6"/>
      <c r="K209" s="6"/>
    </row>
    <row r="210" spans="1:11">
      <c r="A210" s="6" t="s">
        <v>1481</v>
      </c>
      <c r="B210" s="6" t="s">
        <v>1476</v>
      </c>
      <c r="C210" s="6">
        <v>1</v>
      </c>
      <c r="D210" s="6" t="s">
        <v>1041</v>
      </c>
      <c r="E210" s="6" t="s">
        <v>46</v>
      </c>
      <c r="F210" s="6">
        <v>-1</v>
      </c>
      <c r="G210" s="6" t="s">
        <v>793</v>
      </c>
      <c r="H210" s="6"/>
      <c r="I210" s="6"/>
      <c r="J210" s="6"/>
      <c r="K210" s="6"/>
    </row>
    <row r="211" spans="1:11">
      <c r="A211" s="6" t="s">
        <v>1482</v>
      </c>
      <c r="B211" s="6" t="s">
        <v>1476</v>
      </c>
      <c r="C211" s="6">
        <v>1</v>
      </c>
      <c r="D211" s="6" t="s">
        <v>1041</v>
      </c>
      <c r="E211" s="6" t="s">
        <v>46</v>
      </c>
      <c r="F211" s="6">
        <v>-1</v>
      </c>
      <c r="G211" s="6" t="s">
        <v>793</v>
      </c>
      <c r="H211" s="6"/>
      <c r="I211" s="6"/>
      <c r="J211" s="6"/>
      <c r="K211" s="6"/>
    </row>
    <row r="212" spans="1:11">
      <c r="A212" s="6" t="s">
        <v>1483</v>
      </c>
      <c r="B212" s="6" t="s">
        <v>1484</v>
      </c>
      <c r="C212" s="6">
        <v>1</v>
      </c>
      <c r="D212" s="6" t="s">
        <v>1041</v>
      </c>
      <c r="E212" s="6" t="s">
        <v>45</v>
      </c>
      <c r="F212" s="6">
        <v>-1</v>
      </c>
      <c r="G212" s="6" t="s">
        <v>793</v>
      </c>
      <c r="H212" s="6"/>
      <c r="I212" s="6"/>
      <c r="J212" s="6"/>
      <c r="K212" s="6"/>
    </row>
    <row r="213" spans="1:11">
      <c r="A213" s="6" t="s">
        <v>1485</v>
      </c>
      <c r="B213" s="6" t="s">
        <v>1484</v>
      </c>
      <c r="C213" s="6">
        <v>1</v>
      </c>
      <c r="D213" s="6" t="s">
        <v>1041</v>
      </c>
      <c r="E213" s="6" t="s">
        <v>45</v>
      </c>
      <c r="F213" s="6">
        <v>-1</v>
      </c>
      <c r="G213" s="6" t="s">
        <v>793</v>
      </c>
      <c r="H213" s="6"/>
      <c r="I213" s="6"/>
      <c r="J213" s="6"/>
      <c r="K213" s="6"/>
    </row>
    <row r="214" spans="1:11">
      <c r="A214" s="6" t="s">
        <v>1486</v>
      </c>
      <c r="B214" s="6" t="s">
        <v>1484</v>
      </c>
      <c r="C214" s="6">
        <v>1</v>
      </c>
      <c r="D214" s="6" t="s">
        <v>1041</v>
      </c>
      <c r="E214" s="6" t="s">
        <v>45</v>
      </c>
      <c r="F214" s="6">
        <v>-1</v>
      </c>
      <c r="G214" s="6" t="s">
        <v>793</v>
      </c>
      <c r="H214" s="6"/>
      <c r="I214" s="6"/>
      <c r="J214" s="6"/>
      <c r="K214" s="6"/>
    </row>
    <row r="215" spans="1:11">
      <c r="A215" s="6" t="s">
        <v>1487</v>
      </c>
      <c r="B215" s="6" t="s">
        <v>1484</v>
      </c>
      <c r="C215" s="6">
        <v>1</v>
      </c>
      <c r="D215" s="6" t="s">
        <v>1041</v>
      </c>
      <c r="E215" s="6" t="s">
        <v>45</v>
      </c>
      <c r="F215" s="6">
        <v>-1</v>
      </c>
      <c r="G215" s="6" t="s">
        <v>793</v>
      </c>
      <c r="H215" s="6"/>
      <c r="I215" s="6"/>
      <c r="J215" s="6"/>
      <c r="K215" s="6"/>
    </row>
    <row r="216" spans="1:11">
      <c r="A216" s="6" t="s">
        <v>1488</v>
      </c>
      <c r="B216" s="6" t="s">
        <v>1489</v>
      </c>
      <c r="C216" s="6">
        <v>1</v>
      </c>
      <c r="D216" s="6" t="s">
        <v>1041</v>
      </c>
      <c r="E216" s="6" t="s">
        <v>45</v>
      </c>
      <c r="F216" s="6">
        <v>-1</v>
      </c>
      <c r="G216" s="6" t="s">
        <v>793</v>
      </c>
      <c r="H216" s="6"/>
      <c r="I216" s="6"/>
      <c r="J216" s="6"/>
      <c r="K216" s="6"/>
    </row>
    <row r="217" spans="1:11">
      <c r="A217" s="6" t="s">
        <v>1490</v>
      </c>
      <c r="B217" s="6" t="s">
        <v>1489</v>
      </c>
      <c r="C217" s="6">
        <v>1</v>
      </c>
      <c r="D217" s="6" t="s">
        <v>1041</v>
      </c>
      <c r="E217" s="6" t="s">
        <v>45</v>
      </c>
      <c r="F217" s="6">
        <v>-1</v>
      </c>
      <c r="G217" s="6" t="s">
        <v>793</v>
      </c>
      <c r="H217" s="6"/>
      <c r="I217" s="6"/>
      <c r="J217" s="6"/>
      <c r="K217" s="6"/>
    </row>
    <row r="218" spans="1:11">
      <c r="A218" s="6" t="s">
        <v>1491</v>
      </c>
      <c r="B218" s="6" t="s">
        <v>1489</v>
      </c>
      <c r="C218" s="6">
        <v>1</v>
      </c>
      <c r="D218" s="6" t="s">
        <v>1041</v>
      </c>
      <c r="E218" s="6" t="s">
        <v>45</v>
      </c>
      <c r="F218" s="6">
        <v>-1</v>
      </c>
      <c r="G218" s="6" t="s">
        <v>793</v>
      </c>
      <c r="H218" s="6"/>
      <c r="I218" s="6"/>
      <c r="J218" s="6"/>
      <c r="K218" s="6"/>
    </row>
    <row r="219" spans="1:11">
      <c r="A219" s="6" t="s">
        <v>1492</v>
      </c>
      <c r="B219" s="6" t="s">
        <v>1489</v>
      </c>
      <c r="C219" s="6">
        <v>1</v>
      </c>
      <c r="D219" s="6" t="s">
        <v>1041</v>
      </c>
      <c r="E219" s="6" t="s">
        <v>45</v>
      </c>
      <c r="F219" s="6">
        <v>-1</v>
      </c>
      <c r="G219" s="6" t="s">
        <v>793</v>
      </c>
      <c r="H219" s="6"/>
      <c r="I219" s="6"/>
      <c r="J219" s="6"/>
      <c r="K219" s="6"/>
    </row>
    <row r="220" spans="1:11">
      <c r="A220" s="6" t="s">
        <v>1493</v>
      </c>
      <c r="B220" s="6" t="s">
        <v>1489</v>
      </c>
      <c r="C220" s="6">
        <v>1</v>
      </c>
      <c r="D220" s="6" t="s">
        <v>1041</v>
      </c>
      <c r="E220" s="6" t="s">
        <v>45</v>
      </c>
      <c r="F220" s="6">
        <v>-1</v>
      </c>
      <c r="G220" s="6" t="s">
        <v>793</v>
      </c>
      <c r="H220" s="6"/>
      <c r="I220" s="6"/>
      <c r="J220" s="6"/>
      <c r="K220" s="6"/>
    </row>
    <row r="221" spans="1:11">
      <c r="A221" s="6" t="s">
        <v>1494</v>
      </c>
      <c r="B221" s="6" t="s">
        <v>1489</v>
      </c>
      <c r="C221" s="6">
        <v>1</v>
      </c>
      <c r="D221" s="6" t="s">
        <v>1041</v>
      </c>
      <c r="E221" s="6" t="s">
        <v>45</v>
      </c>
      <c r="F221" s="6">
        <v>-1</v>
      </c>
      <c r="G221" s="6" t="s">
        <v>793</v>
      </c>
      <c r="H221" s="6"/>
      <c r="I221" s="6"/>
      <c r="J221" s="6"/>
      <c r="K221" s="6"/>
    </row>
    <row r="222" spans="1:11">
      <c r="A222" s="6" t="s">
        <v>1495</v>
      </c>
      <c r="B222" s="6" t="s">
        <v>1489</v>
      </c>
      <c r="C222" s="6">
        <v>1</v>
      </c>
      <c r="D222" s="6" t="s">
        <v>1041</v>
      </c>
      <c r="E222" s="6" t="s">
        <v>45</v>
      </c>
      <c r="F222" s="6">
        <v>-1</v>
      </c>
      <c r="G222" s="6" t="s">
        <v>793</v>
      </c>
      <c r="H222" s="6"/>
      <c r="I222" s="6"/>
      <c r="J222" s="6"/>
      <c r="K222" s="6"/>
    </row>
    <row r="223" spans="1:11">
      <c r="A223" s="6" t="s">
        <v>1458</v>
      </c>
      <c r="B223" s="6" t="s">
        <v>1496</v>
      </c>
      <c r="C223" s="6">
        <v>1</v>
      </c>
      <c r="D223" s="6" t="s">
        <v>1041</v>
      </c>
      <c r="E223" s="6" t="s">
        <v>1497</v>
      </c>
      <c r="F223" s="6">
        <v>-1</v>
      </c>
      <c r="G223" s="6" t="s">
        <v>793</v>
      </c>
      <c r="H223" s="6"/>
      <c r="I223" s="6"/>
      <c r="J223" s="6"/>
      <c r="K223" s="6"/>
    </row>
    <row r="224" spans="1:7">
      <c r="A224" s="6" t="s">
        <v>1464</v>
      </c>
      <c r="B224" s="6" t="s">
        <v>1496</v>
      </c>
      <c r="C224" s="6">
        <v>1</v>
      </c>
      <c r="D224" s="6" t="s">
        <v>1041</v>
      </c>
      <c r="E224" s="6" t="s">
        <v>1498</v>
      </c>
      <c r="F224" s="6">
        <v>-1</v>
      </c>
      <c r="G224" s="6" t="s">
        <v>793</v>
      </c>
    </row>
    <row r="225" spans="1:7">
      <c r="A225" s="6" t="s">
        <v>1470</v>
      </c>
      <c r="B225" s="6" t="s">
        <v>1496</v>
      </c>
      <c r="C225" s="6">
        <v>1</v>
      </c>
      <c r="D225" s="6" t="s">
        <v>1041</v>
      </c>
      <c r="E225" s="6" t="s">
        <v>1499</v>
      </c>
      <c r="F225" s="6">
        <v>-1</v>
      </c>
      <c r="G225" s="6" t="s">
        <v>793</v>
      </c>
    </row>
    <row r="226" spans="1:7">
      <c r="A226" s="6" t="s">
        <v>1473</v>
      </c>
      <c r="B226" s="6" t="s">
        <v>1496</v>
      </c>
      <c r="C226" s="6">
        <v>1</v>
      </c>
      <c r="D226" s="6" t="s">
        <v>1041</v>
      </c>
      <c r="E226" s="6" t="s">
        <v>1500</v>
      </c>
      <c r="F226" s="6">
        <v>-1</v>
      </c>
      <c r="G226" s="6" t="s">
        <v>793</v>
      </c>
    </row>
    <row r="227" spans="1:7">
      <c r="A227" s="6" t="s">
        <v>1476</v>
      </c>
      <c r="B227" s="6" t="s">
        <v>1496</v>
      </c>
      <c r="C227" s="6">
        <v>1</v>
      </c>
      <c r="D227" s="6" t="s">
        <v>1041</v>
      </c>
      <c r="E227" s="6" t="s">
        <v>1501</v>
      </c>
      <c r="F227" s="6">
        <v>-1</v>
      </c>
      <c r="G227" s="6" t="s">
        <v>793</v>
      </c>
    </row>
    <row r="228" spans="1:7">
      <c r="A228" s="6" t="s">
        <v>1484</v>
      </c>
      <c r="B228" s="6" t="s">
        <v>1496</v>
      </c>
      <c r="C228" s="6">
        <v>1</v>
      </c>
      <c r="D228" s="6" t="s">
        <v>1041</v>
      </c>
      <c r="E228" s="6" t="s">
        <v>1390</v>
      </c>
      <c r="F228" s="6">
        <v>-1</v>
      </c>
      <c r="G228" s="6" t="s">
        <v>793</v>
      </c>
    </row>
    <row r="229" spans="1:7">
      <c r="A229" s="6" t="s">
        <v>1489</v>
      </c>
      <c r="B229" s="6" t="s">
        <v>1496</v>
      </c>
      <c r="C229" s="6">
        <v>1</v>
      </c>
      <c r="D229" s="6" t="s">
        <v>1041</v>
      </c>
      <c r="E229" s="6" t="s">
        <v>1502</v>
      </c>
      <c r="F229" s="6">
        <v>-1</v>
      </c>
      <c r="G229" s="6" t="s">
        <v>793</v>
      </c>
    </row>
    <row r="230" spans="1:7">
      <c r="A230" s="6" t="s">
        <v>1503</v>
      </c>
      <c r="B230" s="6" t="s">
        <v>1504</v>
      </c>
      <c r="C230" s="6">
        <v>1</v>
      </c>
      <c r="D230" s="6" t="s">
        <v>1041</v>
      </c>
      <c r="E230" s="6" t="s">
        <v>45</v>
      </c>
      <c r="F230" s="6">
        <v>-1</v>
      </c>
      <c r="G230" s="6" t="s">
        <v>793</v>
      </c>
    </row>
    <row r="231" spans="1:7">
      <c r="A231" s="6" t="s">
        <v>1505</v>
      </c>
      <c r="B231" s="6" t="s">
        <v>1504</v>
      </c>
      <c r="C231" s="6">
        <v>1</v>
      </c>
      <c r="D231" s="6" t="s">
        <v>1041</v>
      </c>
      <c r="E231" s="6" t="s">
        <v>45</v>
      </c>
      <c r="F231" s="6">
        <v>-1</v>
      </c>
      <c r="G231" s="6" t="s">
        <v>793</v>
      </c>
    </row>
    <row r="232" spans="1:7">
      <c r="A232" s="6" t="s">
        <v>1506</v>
      </c>
      <c r="B232" s="6" t="s">
        <v>1504</v>
      </c>
      <c r="C232" s="6">
        <v>1</v>
      </c>
      <c r="D232" s="6" t="s">
        <v>1041</v>
      </c>
      <c r="E232" s="6" t="s">
        <v>45</v>
      </c>
      <c r="F232" s="6">
        <v>-1</v>
      </c>
      <c r="G232" s="6" t="s">
        <v>793</v>
      </c>
    </row>
    <row r="233" spans="1:7">
      <c r="A233" s="6" t="s">
        <v>1507</v>
      </c>
      <c r="B233" s="6" t="s">
        <v>1504</v>
      </c>
      <c r="C233" s="6">
        <v>1</v>
      </c>
      <c r="D233" s="6" t="s">
        <v>1041</v>
      </c>
      <c r="E233" s="6" t="s">
        <v>45</v>
      </c>
      <c r="F233" s="6">
        <v>-1</v>
      </c>
      <c r="G233" s="6" t="s">
        <v>793</v>
      </c>
    </row>
    <row r="234" spans="1:7">
      <c r="A234" s="6" t="s">
        <v>1508</v>
      </c>
      <c r="B234" s="6" t="s">
        <v>1504</v>
      </c>
      <c r="C234" s="6">
        <v>1</v>
      </c>
      <c r="D234" s="6" t="s">
        <v>1041</v>
      </c>
      <c r="E234" s="6" t="s">
        <v>45</v>
      </c>
      <c r="F234" s="6">
        <v>-1</v>
      </c>
      <c r="G234" s="6" t="s">
        <v>793</v>
      </c>
    </row>
    <row r="235" ht="13" customHeight="1" spans="1:7">
      <c r="A235" s="6" t="s">
        <v>1509</v>
      </c>
      <c r="B235" s="6" t="s">
        <v>1504</v>
      </c>
      <c r="C235" s="6">
        <v>1</v>
      </c>
      <c r="D235" s="6" t="s">
        <v>1041</v>
      </c>
      <c r="E235" s="6" t="s">
        <v>45</v>
      </c>
      <c r="F235" s="6">
        <v>-1</v>
      </c>
      <c r="G235" s="6" t="s">
        <v>793</v>
      </c>
    </row>
    <row r="236" ht="13" customHeight="1" spans="1:7">
      <c r="A236" s="6" t="s">
        <v>1510</v>
      </c>
      <c r="B236" s="6" t="s">
        <v>1504</v>
      </c>
      <c r="C236" s="6">
        <v>1</v>
      </c>
      <c r="D236" s="6" t="s">
        <v>1041</v>
      </c>
      <c r="E236" s="6" t="s">
        <v>41</v>
      </c>
      <c r="F236" s="6">
        <v>-1</v>
      </c>
      <c r="G236" s="6" t="s">
        <v>793</v>
      </c>
    </row>
    <row r="237" spans="1:7">
      <c r="A237" s="6" t="s">
        <v>1511</v>
      </c>
      <c r="B237" s="6" t="s">
        <v>1512</v>
      </c>
      <c r="C237" s="6">
        <v>1</v>
      </c>
      <c r="D237" s="6" t="s">
        <v>1041</v>
      </c>
      <c r="E237" s="6" t="s">
        <v>38</v>
      </c>
      <c r="F237" s="6">
        <v>-1</v>
      </c>
      <c r="G237" s="6" t="s">
        <v>793</v>
      </c>
    </row>
    <row r="238" spans="1:7">
      <c r="A238" s="6" t="s">
        <v>1513</v>
      </c>
      <c r="B238" s="6" t="s">
        <v>1512</v>
      </c>
      <c r="C238" s="6">
        <v>1</v>
      </c>
      <c r="D238" s="6" t="s">
        <v>1041</v>
      </c>
      <c r="E238" s="6" t="s">
        <v>42</v>
      </c>
      <c r="F238" s="6">
        <v>-1</v>
      </c>
      <c r="G238" s="6" t="s">
        <v>793</v>
      </c>
    </row>
    <row r="239" spans="1:7">
      <c r="A239" s="6" t="s">
        <v>1514</v>
      </c>
      <c r="B239" s="6" t="s">
        <v>1512</v>
      </c>
      <c r="C239" s="6">
        <v>1</v>
      </c>
      <c r="D239" s="6" t="s">
        <v>1041</v>
      </c>
      <c r="E239" s="6" t="s">
        <v>42</v>
      </c>
      <c r="F239" s="6">
        <v>-1</v>
      </c>
      <c r="G239" s="6" t="s">
        <v>793</v>
      </c>
    </row>
    <row r="240" spans="1:7">
      <c r="A240" s="6" t="s">
        <v>1515</v>
      </c>
      <c r="B240" s="6" t="s">
        <v>1512</v>
      </c>
      <c r="C240" s="6">
        <v>1</v>
      </c>
      <c r="D240" s="6" t="s">
        <v>1041</v>
      </c>
      <c r="E240" s="6" t="s">
        <v>45</v>
      </c>
      <c r="F240" s="6">
        <v>-1</v>
      </c>
      <c r="G240" s="6" t="s">
        <v>793</v>
      </c>
    </row>
    <row r="241" spans="1:7">
      <c r="A241" s="6" t="s">
        <v>1516</v>
      </c>
      <c r="B241" s="6" t="s">
        <v>1512</v>
      </c>
      <c r="C241" s="6">
        <v>1</v>
      </c>
      <c r="D241" s="6" t="s">
        <v>1041</v>
      </c>
      <c r="E241" s="6" t="s">
        <v>45</v>
      </c>
      <c r="F241" s="6">
        <v>-1</v>
      </c>
      <c r="G241" s="6" t="s">
        <v>793</v>
      </c>
    </row>
    <row r="242" spans="1:7">
      <c r="A242" s="6" t="s">
        <v>1517</v>
      </c>
      <c r="B242" s="6" t="s">
        <v>1512</v>
      </c>
      <c r="C242" s="6">
        <v>1</v>
      </c>
      <c r="D242" s="6" t="s">
        <v>1041</v>
      </c>
      <c r="E242" s="6" t="s">
        <v>45</v>
      </c>
      <c r="F242" s="6">
        <v>-1</v>
      </c>
      <c r="G242" s="6" t="s">
        <v>793</v>
      </c>
    </row>
    <row r="243" spans="1:7">
      <c r="A243" s="6" t="s">
        <v>1518</v>
      </c>
      <c r="B243" s="6" t="s">
        <v>1512</v>
      </c>
      <c r="C243" s="6">
        <v>1</v>
      </c>
      <c r="D243" s="6" t="s">
        <v>1041</v>
      </c>
      <c r="E243" s="6" t="s">
        <v>45</v>
      </c>
      <c r="F243" s="6">
        <v>-1</v>
      </c>
      <c r="G243" s="6" t="s">
        <v>793</v>
      </c>
    </row>
    <row r="244" spans="1:7">
      <c r="A244" s="6" t="s">
        <v>1519</v>
      </c>
      <c r="B244" s="6" t="s">
        <v>1520</v>
      </c>
      <c r="C244" s="6">
        <v>1</v>
      </c>
      <c r="D244" s="6" t="s">
        <v>1041</v>
      </c>
      <c r="E244" s="6" t="s">
        <v>38</v>
      </c>
      <c r="F244" s="6">
        <v>-1</v>
      </c>
      <c r="G244" s="6" t="s">
        <v>793</v>
      </c>
    </row>
    <row r="245" spans="1:7">
      <c r="A245" s="6" t="s">
        <v>1521</v>
      </c>
      <c r="B245" s="6" t="s">
        <v>1520</v>
      </c>
      <c r="C245" s="6">
        <v>1</v>
      </c>
      <c r="D245" s="6" t="s">
        <v>1041</v>
      </c>
      <c r="E245" s="6" t="s">
        <v>42</v>
      </c>
      <c r="F245" s="6">
        <v>-1</v>
      </c>
      <c r="G245" s="6" t="s">
        <v>793</v>
      </c>
    </row>
    <row r="246" spans="1:7">
      <c r="A246" s="6" t="s">
        <v>1522</v>
      </c>
      <c r="B246" s="6" t="s">
        <v>1520</v>
      </c>
      <c r="C246" s="6">
        <v>1</v>
      </c>
      <c r="D246" s="6" t="s">
        <v>1041</v>
      </c>
      <c r="E246" s="6" t="s">
        <v>45</v>
      </c>
      <c r="F246" s="6">
        <v>-1</v>
      </c>
      <c r="G246" s="6" t="s">
        <v>793</v>
      </c>
    </row>
    <row r="247" spans="1:7">
      <c r="A247" s="6" t="s">
        <v>1523</v>
      </c>
      <c r="B247" s="6" t="s">
        <v>1520</v>
      </c>
      <c r="C247" s="6">
        <v>1</v>
      </c>
      <c r="D247" s="6" t="s">
        <v>1041</v>
      </c>
      <c r="E247" s="6" t="s">
        <v>42</v>
      </c>
      <c r="F247" s="6">
        <v>-1</v>
      </c>
      <c r="G247" s="6" t="s">
        <v>793</v>
      </c>
    </row>
    <row r="248" spans="1:7">
      <c r="A248" s="6" t="s">
        <v>1524</v>
      </c>
      <c r="B248" s="6" t="s">
        <v>1520</v>
      </c>
      <c r="C248" s="6">
        <v>1</v>
      </c>
      <c r="D248" s="6" t="s">
        <v>1041</v>
      </c>
      <c r="E248" s="6" t="s">
        <v>45</v>
      </c>
      <c r="F248" s="6">
        <v>-1</v>
      </c>
      <c r="G248" s="6" t="s">
        <v>793</v>
      </c>
    </row>
    <row r="249" spans="1:7">
      <c r="A249" s="6" t="s">
        <v>1525</v>
      </c>
      <c r="B249" s="6" t="s">
        <v>1526</v>
      </c>
      <c r="C249" s="6">
        <v>1</v>
      </c>
      <c r="D249" s="6" t="s">
        <v>1041</v>
      </c>
      <c r="E249" s="6" t="s">
        <v>45</v>
      </c>
      <c r="F249" s="6">
        <v>-1</v>
      </c>
      <c r="G249" s="6" t="s">
        <v>793</v>
      </c>
    </row>
    <row r="250" spans="1:7">
      <c r="A250" s="6" t="s">
        <v>1527</v>
      </c>
      <c r="B250" s="6" t="s">
        <v>1526</v>
      </c>
      <c r="C250" s="6">
        <v>1</v>
      </c>
      <c r="D250" s="6" t="s">
        <v>1041</v>
      </c>
      <c r="E250" s="6" t="s">
        <v>45</v>
      </c>
      <c r="F250" s="6">
        <v>-1</v>
      </c>
      <c r="G250" s="6" t="s">
        <v>793</v>
      </c>
    </row>
    <row r="251" spans="1:7">
      <c r="A251" s="6" t="s">
        <v>1528</v>
      </c>
      <c r="B251" s="6" t="s">
        <v>1526</v>
      </c>
      <c r="C251" s="6">
        <v>1</v>
      </c>
      <c r="D251" s="6" t="s">
        <v>1041</v>
      </c>
      <c r="E251" s="6" t="s">
        <v>45</v>
      </c>
      <c r="F251" s="6">
        <v>-1</v>
      </c>
      <c r="G251" s="6" t="s">
        <v>793</v>
      </c>
    </row>
    <row r="252" spans="1:7">
      <c r="A252" s="6" t="s">
        <v>1520</v>
      </c>
      <c r="B252" s="6" t="s">
        <v>1529</v>
      </c>
      <c r="C252" s="6">
        <v>1</v>
      </c>
      <c r="D252" s="6" t="s">
        <v>1041</v>
      </c>
      <c r="E252" s="6" t="s">
        <v>1530</v>
      </c>
      <c r="F252" s="6">
        <v>-1</v>
      </c>
      <c r="G252" s="6" t="s">
        <v>793</v>
      </c>
    </row>
    <row r="253" spans="1:7">
      <c r="A253" s="6" t="s">
        <v>1526</v>
      </c>
      <c r="B253" s="6" t="s">
        <v>1529</v>
      </c>
      <c r="C253" s="6">
        <v>1</v>
      </c>
      <c r="D253" s="6" t="s">
        <v>1041</v>
      </c>
      <c r="E253" s="6" t="s">
        <v>1531</v>
      </c>
      <c r="F253" s="6">
        <v>-1</v>
      </c>
      <c r="G253" s="6" t="s">
        <v>793</v>
      </c>
    </row>
    <row r="254" spans="1:7">
      <c r="A254" s="6" t="s">
        <v>1532</v>
      </c>
      <c r="B254" s="6" t="s">
        <v>1529</v>
      </c>
      <c r="C254" s="6">
        <v>1</v>
      </c>
      <c r="D254" s="6" t="s">
        <v>1041</v>
      </c>
      <c r="E254" s="6" t="s">
        <v>46</v>
      </c>
      <c r="F254" s="6">
        <v>-1</v>
      </c>
      <c r="G254" s="6" t="s">
        <v>793</v>
      </c>
    </row>
    <row r="255" customFormat="1" spans="1:11">
      <c r="A255" s="6" t="s">
        <v>1533</v>
      </c>
      <c r="B255" s="6" t="s">
        <v>1529</v>
      </c>
      <c r="C255" s="6">
        <v>1</v>
      </c>
      <c r="D255" s="6" t="s">
        <v>1041</v>
      </c>
      <c r="E255" s="6" t="s">
        <v>45</v>
      </c>
      <c r="F255" s="6">
        <v>-1</v>
      </c>
      <c r="G255" s="6" t="s">
        <v>793</v>
      </c>
      <c r="H255" s="8"/>
      <c r="I255" s="8"/>
      <c r="J255" s="8"/>
      <c r="K255" s="8"/>
    </row>
    <row r="256" spans="1:7">
      <c r="A256" s="6" t="s">
        <v>1534</v>
      </c>
      <c r="B256" s="6" t="s">
        <v>1535</v>
      </c>
      <c r="C256" s="6">
        <v>1</v>
      </c>
      <c r="D256" s="6" t="s">
        <v>1041</v>
      </c>
      <c r="E256" s="6" t="s">
        <v>45</v>
      </c>
      <c r="F256" s="6">
        <v>-1</v>
      </c>
      <c r="G256" s="6" t="s">
        <v>793</v>
      </c>
    </row>
    <row r="257" spans="1:7">
      <c r="A257" s="6" t="s">
        <v>1536</v>
      </c>
      <c r="B257" s="6" t="s">
        <v>1535</v>
      </c>
      <c r="C257" s="6">
        <v>1</v>
      </c>
      <c r="D257" s="6" t="s">
        <v>1041</v>
      </c>
      <c r="E257" s="6" t="s">
        <v>45</v>
      </c>
      <c r="F257" s="6">
        <v>-1</v>
      </c>
      <c r="G257" s="6" t="s">
        <v>793</v>
      </c>
    </row>
    <row r="258" spans="1:7">
      <c r="A258" s="6" t="s">
        <v>1537</v>
      </c>
      <c r="B258" s="6" t="s">
        <v>1535</v>
      </c>
      <c r="C258" s="6">
        <v>1</v>
      </c>
      <c r="D258" s="6" t="s">
        <v>1041</v>
      </c>
      <c r="E258" s="6" t="s">
        <v>45</v>
      </c>
      <c r="F258" s="6">
        <v>-1</v>
      </c>
      <c r="G258" s="6" t="s">
        <v>793</v>
      </c>
    </row>
    <row r="259" spans="1:7">
      <c r="A259" s="6" t="s">
        <v>1538</v>
      </c>
      <c r="B259" s="6" t="s">
        <v>1535</v>
      </c>
      <c r="C259" s="6">
        <v>1</v>
      </c>
      <c r="D259" s="6" t="s">
        <v>1041</v>
      </c>
      <c r="E259" s="6" t="s">
        <v>45</v>
      </c>
      <c r="F259" s="6">
        <v>-1</v>
      </c>
      <c r="G259" s="6" t="s">
        <v>793</v>
      </c>
    </row>
    <row r="260" spans="1:7">
      <c r="A260" s="6" t="s">
        <v>1504</v>
      </c>
      <c r="B260" s="6" t="s">
        <v>1539</v>
      </c>
      <c r="C260" s="6">
        <v>1</v>
      </c>
      <c r="D260" s="6" t="s">
        <v>1041</v>
      </c>
      <c r="E260" s="6" t="s">
        <v>1540</v>
      </c>
      <c r="F260" s="6">
        <v>-1</v>
      </c>
      <c r="G260" s="6" t="s">
        <v>793</v>
      </c>
    </row>
    <row r="261" spans="1:7">
      <c r="A261" s="6" t="s">
        <v>1512</v>
      </c>
      <c r="B261" s="6" t="s">
        <v>1539</v>
      </c>
      <c r="C261" s="6">
        <v>1</v>
      </c>
      <c r="D261" s="6" t="s">
        <v>1041</v>
      </c>
      <c r="E261" s="6" t="s">
        <v>1541</v>
      </c>
      <c r="F261" s="6">
        <v>-1</v>
      </c>
      <c r="G261" s="6" t="s">
        <v>793</v>
      </c>
    </row>
    <row r="262" spans="1:7">
      <c r="A262" s="6" t="s">
        <v>1529</v>
      </c>
      <c r="B262" s="6" t="s">
        <v>1539</v>
      </c>
      <c r="C262" s="6">
        <v>1</v>
      </c>
      <c r="D262" s="6" t="s">
        <v>1041</v>
      </c>
      <c r="E262" s="6" t="s">
        <v>1542</v>
      </c>
      <c r="F262" s="6">
        <v>-1</v>
      </c>
      <c r="G262" s="6" t="s">
        <v>793</v>
      </c>
    </row>
    <row r="263" spans="1:7">
      <c r="A263" s="6" t="s">
        <v>1535</v>
      </c>
      <c r="B263" s="6" t="s">
        <v>1539</v>
      </c>
      <c r="C263" s="6">
        <v>1</v>
      </c>
      <c r="D263" s="6" t="s">
        <v>1041</v>
      </c>
      <c r="E263" s="6" t="s">
        <v>1543</v>
      </c>
      <c r="F263" s="6">
        <v>-1</v>
      </c>
      <c r="G263" s="6" t="s">
        <v>793</v>
      </c>
    </row>
    <row r="264" spans="1:7">
      <c r="A264" s="6" t="s">
        <v>1544</v>
      </c>
      <c r="B264" s="6" t="s">
        <v>1545</v>
      </c>
      <c r="C264" s="6">
        <v>1</v>
      </c>
      <c r="D264" s="6" t="s">
        <v>1041</v>
      </c>
      <c r="E264" s="6" t="s">
        <v>41</v>
      </c>
      <c r="F264" s="6">
        <v>-1</v>
      </c>
      <c r="G264" s="6" t="s">
        <v>793</v>
      </c>
    </row>
    <row r="265" spans="1:7">
      <c r="A265" s="6" t="s">
        <v>1546</v>
      </c>
      <c r="B265" s="6" t="s">
        <v>1545</v>
      </c>
      <c r="C265" s="6">
        <v>1</v>
      </c>
      <c r="D265" s="6" t="s">
        <v>1041</v>
      </c>
      <c r="E265" s="6" t="s">
        <v>41</v>
      </c>
      <c r="F265" s="6">
        <v>-1</v>
      </c>
      <c r="G265" s="6" t="s">
        <v>793</v>
      </c>
    </row>
    <row r="266" spans="1:7">
      <c r="A266" s="6" t="s">
        <v>1547</v>
      </c>
      <c r="B266" s="6" t="s">
        <v>1545</v>
      </c>
      <c r="C266" s="6">
        <v>1</v>
      </c>
      <c r="D266" s="6" t="s">
        <v>1041</v>
      </c>
      <c r="E266" s="6" t="s">
        <v>41</v>
      </c>
      <c r="F266" s="6">
        <v>-1</v>
      </c>
      <c r="G266" s="6" t="s">
        <v>793</v>
      </c>
    </row>
    <row r="267" spans="1:7">
      <c r="A267" s="6" t="s">
        <v>1548</v>
      </c>
      <c r="B267" s="6" t="s">
        <v>1545</v>
      </c>
      <c r="C267" s="6">
        <v>1</v>
      </c>
      <c r="D267" s="6" t="s">
        <v>1041</v>
      </c>
      <c r="E267" s="6" t="s">
        <v>42</v>
      </c>
      <c r="F267" s="6">
        <v>-1</v>
      </c>
      <c r="G267" s="6" t="s">
        <v>793</v>
      </c>
    </row>
    <row r="268" spans="1:7">
      <c r="A268" s="6" t="s">
        <v>1549</v>
      </c>
      <c r="B268" s="6" t="s">
        <v>1545</v>
      </c>
      <c r="C268" s="6">
        <v>1</v>
      </c>
      <c r="D268" s="6" t="s">
        <v>1041</v>
      </c>
      <c r="E268" s="6" t="s">
        <v>42</v>
      </c>
      <c r="F268" s="6">
        <v>-1</v>
      </c>
      <c r="G268" s="6" t="s">
        <v>793</v>
      </c>
    </row>
    <row r="269" spans="1:7">
      <c r="A269" s="6" t="s">
        <v>1550</v>
      </c>
      <c r="B269" s="6" t="s">
        <v>1545</v>
      </c>
      <c r="C269" s="6">
        <v>1</v>
      </c>
      <c r="D269" s="6" t="s">
        <v>1041</v>
      </c>
      <c r="E269" s="6" t="s">
        <v>45</v>
      </c>
      <c r="F269" s="6">
        <v>-1</v>
      </c>
      <c r="G269" s="6" t="s">
        <v>793</v>
      </c>
    </row>
    <row r="270" spans="1:7">
      <c r="A270" s="6" t="s">
        <v>1551</v>
      </c>
      <c r="B270" s="6" t="s">
        <v>1552</v>
      </c>
      <c r="C270" s="6">
        <v>1</v>
      </c>
      <c r="D270" s="6" t="s">
        <v>1041</v>
      </c>
      <c r="E270" s="6" t="s">
        <v>45</v>
      </c>
      <c r="F270" s="6">
        <v>-1</v>
      </c>
      <c r="G270" s="6" t="s">
        <v>793</v>
      </c>
    </row>
    <row r="271" spans="1:7">
      <c r="A271" s="6" t="s">
        <v>1553</v>
      </c>
      <c r="B271" s="6" t="s">
        <v>1552</v>
      </c>
      <c r="C271" s="6">
        <v>1</v>
      </c>
      <c r="D271" s="6" t="s">
        <v>1041</v>
      </c>
      <c r="E271" s="6" t="s">
        <v>45</v>
      </c>
      <c r="F271" s="6">
        <v>-1</v>
      </c>
      <c r="G271" s="6" t="s">
        <v>793</v>
      </c>
    </row>
    <row r="272" spans="1:7">
      <c r="A272" s="6" t="s">
        <v>1554</v>
      </c>
      <c r="B272" s="6" t="s">
        <v>1552</v>
      </c>
      <c r="C272" s="6">
        <v>1</v>
      </c>
      <c r="D272" s="6" t="s">
        <v>1041</v>
      </c>
      <c r="E272" s="6" t="s">
        <v>47</v>
      </c>
      <c r="F272" s="6">
        <v>-1</v>
      </c>
      <c r="G272" s="6" t="s">
        <v>793</v>
      </c>
    </row>
    <row r="273" spans="1:7">
      <c r="A273" s="6" t="s">
        <v>1555</v>
      </c>
      <c r="B273" s="6" t="s">
        <v>1552</v>
      </c>
      <c r="C273" s="6">
        <v>1</v>
      </c>
      <c r="D273" s="6" t="s">
        <v>1041</v>
      </c>
      <c r="E273" s="6" t="s">
        <v>46</v>
      </c>
      <c r="F273" s="6">
        <v>-1</v>
      </c>
      <c r="G273" s="6" t="s">
        <v>793</v>
      </c>
    </row>
    <row r="274" spans="1:7">
      <c r="A274" s="6" t="s">
        <v>1556</v>
      </c>
      <c r="B274" s="6" t="s">
        <v>1552</v>
      </c>
      <c r="C274" s="6">
        <v>1</v>
      </c>
      <c r="D274" s="6" t="s">
        <v>1041</v>
      </c>
      <c r="E274" s="6" t="s">
        <v>45</v>
      </c>
      <c r="F274" s="6">
        <v>-1</v>
      </c>
      <c r="G274" s="6" t="s">
        <v>793</v>
      </c>
    </row>
    <row r="275" spans="1:7">
      <c r="A275" s="6" t="s">
        <v>1557</v>
      </c>
      <c r="B275" s="6" t="s">
        <v>1552</v>
      </c>
      <c r="C275" s="6">
        <v>1</v>
      </c>
      <c r="D275" s="6" t="s">
        <v>1041</v>
      </c>
      <c r="E275" s="6" t="s">
        <v>45</v>
      </c>
      <c r="F275" s="6">
        <v>-1</v>
      </c>
      <c r="G275" s="6" t="s">
        <v>793</v>
      </c>
    </row>
    <row r="276" spans="1:7">
      <c r="A276" s="6" t="s">
        <v>1558</v>
      </c>
      <c r="B276" s="6" t="s">
        <v>1559</v>
      </c>
      <c r="C276" s="6">
        <v>1</v>
      </c>
      <c r="D276" s="6" t="s">
        <v>1041</v>
      </c>
      <c r="E276" s="6" t="s">
        <v>45</v>
      </c>
      <c r="F276" s="6">
        <v>-1</v>
      </c>
      <c r="G276" s="6" t="s">
        <v>793</v>
      </c>
    </row>
    <row r="277" spans="1:7">
      <c r="A277" s="6" t="s">
        <v>1560</v>
      </c>
      <c r="B277" s="6" t="s">
        <v>1559</v>
      </c>
      <c r="C277" s="6">
        <v>1</v>
      </c>
      <c r="D277" s="6" t="s">
        <v>1041</v>
      </c>
      <c r="E277" s="6" t="s">
        <v>45</v>
      </c>
      <c r="F277" s="6">
        <v>-1</v>
      </c>
      <c r="G277" s="6" t="s">
        <v>793</v>
      </c>
    </row>
    <row r="278" spans="1:7">
      <c r="A278" s="6" t="s">
        <v>1561</v>
      </c>
      <c r="B278" s="6" t="s">
        <v>1559</v>
      </c>
      <c r="C278" s="6">
        <v>1</v>
      </c>
      <c r="D278" s="6" t="s">
        <v>1041</v>
      </c>
      <c r="E278" s="6" t="s">
        <v>45</v>
      </c>
      <c r="F278" s="6">
        <v>-1</v>
      </c>
      <c r="G278" s="6" t="s">
        <v>793</v>
      </c>
    </row>
    <row r="279" spans="1:7">
      <c r="A279" s="6" t="s">
        <v>1562</v>
      </c>
      <c r="B279" s="6" t="s">
        <v>1559</v>
      </c>
      <c r="C279" s="6">
        <v>1</v>
      </c>
      <c r="D279" s="6" t="s">
        <v>1041</v>
      </c>
      <c r="E279" s="6" t="s">
        <v>45</v>
      </c>
      <c r="F279" s="6">
        <v>-1</v>
      </c>
      <c r="G279" s="6" t="s">
        <v>793</v>
      </c>
    </row>
    <row r="280" spans="1:7">
      <c r="A280" s="6" t="s">
        <v>1563</v>
      </c>
      <c r="B280" s="6" t="s">
        <v>1559</v>
      </c>
      <c r="C280" s="6">
        <v>1</v>
      </c>
      <c r="D280" s="6" t="s">
        <v>1041</v>
      </c>
      <c r="E280" s="6" t="s">
        <v>45</v>
      </c>
      <c r="F280" s="6">
        <v>-1</v>
      </c>
      <c r="G280" s="6" t="s">
        <v>793</v>
      </c>
    </row>
    <row r="281" spans="1:7">
      <c r="A281" s="6" t="s">
        <v>1564</v>
      </c>
      <c r="B281" s="6" t="s">
        <v>1559</v>
      </c>
      <c r="C281" s="6">
        <v>1</v>
      </c>
      <c r="D281" s="6" t="s">
        <v>1041</v>
      </c>
      <c r="E281" s="6" t="s">
        <v>45</v>
      </c>
      <c r="F281" s="6">
        <v>-1</v>
      </c>
      <c r="G281" s="6" t="s">
        <v>793</v>
      </c>
    </row>
    <row r="282" spans="1:7">
      <c r="A282" s="6" t="s">
        <v>1565</v>
      </c>
      <c r="B282" s="6" t="s">
        <v>1559</v>
      </c>
      <c r="C282" s="6">
        <v>1</v>
      </c>
      <c r="D282" s="6" t="s">
        <v>1041</v>
      </c>
      <c r="E282" s="6" t="s">
        <v>45</v>
      </c>
      <c r="F282" s="6">
        <v>-1</v>
      </c>
      <c r="G282" s="6" t="s">
        <v>793</v>
      </c>
    </row>
    <row r="283" spans="1:7">
      <c r="A283" s="6" t="s">
        <v>1566</v>
      </c>
      <c r="B283" s="6" t="s">
        <v>1559</v>
      </c>
      <c r="C283" s="6">
        <v>1</v>
      </c>
      <c r="D283" s="6" t="s">
        <v>1041</v>
      </c>
      <c r="E283" s="6" t="s">
        <v>45</v>
      </c>
      <c r="F283" s="6">
        <v>-1</v>
      </c>
      <c r="G283" s="6" t="s">
        <v>793</v>
      </c>
    </row>
    <row r="284" spans="1:7">
      <c r="A284" s="6" t="s">
        <v>1567</v>
      </c>
      <c r="B284" s="6" t="s">
        <v>1559</v>
      </c>
      <c r="C284" s="6">
        <v>1</v>
      </c>
      <c r="D284" s="6" t="s">
        <v>1041</v>
      </c>
      <c r="E284" s="6" t="s">
        <v>45</v>
      </c>
      <c r="F284" s="6">
        <v>-1</v>
      </c>
      <c r="G284" s="6" t="s">
        <v>793</v>
      </c>
    </row>
    <row r="285" spans="1:7">
      <c r="A285" s="6" t="s">
        <v>1568</v>
      </c>
      <c r="B285" s="6" t="s">
        <v>1569</v>
      </c>
      <c r="C285" s="6">
        <v>1</v>
      </c>
      <c r="D285" s="6" t="s">
        <v>1041</v>
      </c>
      <c r="E285" s="6" t="s">
        <v>45</v>
      </c>
      <c r="F285" s="6">
        <v>-1</v>
      </c>
      <c r="G285" s="6" t="s">
        <v>793</v>
      </c>
    </row>
    <row r="286" spans="1:7">
      <c r="A286" s="6" t="s">
        <v>1570</v>
      </c>
      <c r="B286" s="6" t="s">
        <v>1569</v>
      </c>
      <c r="C286" s="6">
        <v>1</v>
      </c>
      <c r="D286" s="6" t="s">
        <v>1041</v>
      </c>
      <c r="E286" s="6" t="s">
        <v>45</v>
      </c>
      <c r="F286" s="6">
        <v>-1</v>
      </c>
      <c r="G286" s="6" t="s">
        <v>793</v>
      </c>
    </row>
    <row r="287" spans="1:7">
      <c r="A287" s="6" t="s">
        <v>1571</v>
      </c>
      <c r="B287" s="6" t="s">
        <v>1569</v>
      </c>
      <c r="C287" s="6">
        <v>1</v>
      </c>
      <c r="D287" s="6" t="s">
        <v>1041</v>
      </c>
      <c r="E287" s="6" t="s">
        <v>45</v>
      </c>
      <c r="F287" s="6">
        <v>-1</v>
      </c>
      <c r="G287" s="6" t="s">
        <v>793</v>
      </c>
    </row>
    <row r="288" spans="1:7">
      <c r="A288" s="6" t="s">
        <v>1572</v>
      </c>
      <c r="B288" s="6" t="s">
        <v>1573</v>
      </c>
      <c r="C288" s="6">
        <v>1</v>
      </c>
      <c r="D288" s="6" t="s">
        <v>1041</v>
      </c>
      <c r="E288" s="6" t="s">
        <v>41</v>
      </c>
      <c r="F288" s="6">
        <v>-1</v>
      </c>
      <c r="G288" s="6" t="s">
        <v>793</v>
      </c>
    </row>
    <row r="289" spans="1:7">
      <c r="A289" s="6" t="s">
        <v>1574</v>
      </c>
      <c r="B289" s="6" t="s">
        <v>1573</v>
      </c>
      <c r="C289" s="6">
        <v>1</v>
      </c>
      <c r="D289" s="6" t="s">
        <v>1041</v>
      </c>
      <c r="E289" s="6" t="s">
        <v>41</v>
      </c>
      <c r="F289" s="6">
        <v>-1</v>
      </c>
      <c r="G289" s="6" t="s">
        <v>793</v>
      </c>
    </row>
    <row r="290" spans="1:7">
      <c r="A290" s="6" t="s">
        <v>1575</v>
      </c>
      <c r="B290" s="6" t="s">
        <v>1573</v>
      </c>
      <c r="C290" s="6">
        <v>1</v>
      </c>
      <c r="D290" s="6" t="s">
        <v>1041</v>
      </c>
      <c r="E290" s="6" t="s">
        <v>41</v>
      </c>
      <c r="F290" s="6">
        <v>-1</v>
      </c>
      <c r="G290" s="6" t="s">
        <v>793</v>
      </c>
    </row>
    <row r="291" spans="1:7">
      <c r="A291" s="6" t="s">
        <v>1576</v>
      </c>
      <c r="B291" s="6" t="s">
        <v>1573</v>
      </c>
      <c r="C291" s="6">
        <v>1</v>
      </c>
      <c r="D291" s="6" t="s">
        <v>1041</v>
      </c>
      <c r="E291" s="6" t="s">
        <v>42</v>
      </c>
      <c r="F291" s="6">
        <v>-1</v>
      </c>
      <c r="G291" s="6" t="s">
        <v>793</v>
      </c>
    </row>
    <row r="292" spans="1:7">
      <c r="A292" s="6" t="s">
        <v>1577</v>
      </c>
      <c r="B292" s="6" t="s">
        <v>1573</v>
      </c>
      <c r="C292" s="6">
        <v>1</v>
      </c>
      <c r="D292" s="6" t="s">
        <v>1041</v>
      </c>
      <c r="E292" s="6" t="s">
        <v>42</v>
      </c>
      <c r="F292" s="6">
        <v>-1</v>
      </c>
      <c r="G292" s="6" t="s">
        <v>793</v>
      </c>
    </row>
    <row r="293" spans="1:7">
      <c r="A293" s="6" t="s">
        <v>1578</v>
      </c>
      <c r="B293" s="6" t="s">
        <v>1573</v>
      </c>
      <c r="C293" s="6">
        <v>1</v>
      </c>
      <c r="D293" s="6" t="s">
        <v>1041</v>
      </c>
      <c r="E293" s="6" t="s">
        <v>45</v>
      </c>
      <c r="F293" s="6">
        <v>-1</v>
      </c>
      <c r="G293" s="6" t="s">
        <v>793</v>
      </c>
    </row>
    <row r="294" s="7" customFormat="1" spans="1:7">
      <c r="A294" s="9" t="s">
        <v>1579</v>
      </c>
      <c r="B294" s="9" t="s">
        <v>1580</v>
      </c>
      <c r="C294" s="9">
        <v>1</v>
      </c>
      <c r="D294" s="9" t="s">
        <v>1041</v>
      </c>
      <c r="E294" s="9" t="s">
        <v>46</v>
      </c>
      <c r="F294" s="9">
        <v>-1</v>
      </c>
      <c r="G294" s="9" t="s">
        <v>793</v>
      </c>
    </row>
    <row r="295" s="7" customFormat="1" spans="1:7">
      <c r="A295" s="9" t="s">
        <v>1581</v>
      </c>
      <c r="B295" s="9" t="s">
        <v>1580</v>
      </c>
      <c r="C295" s="9">
        <v>1</v>
      </c>
      <c r="D295" s="9" t="s">
        <v>1041</v>
      </c>
      <c r="E295" s="9" t="s">
        <v>46</v>
      </c>
      <c r="F295" s="9">
        <v>-1</v>
      </c>
      <c r="G295" s="9" t="s">
        <v>793</v>
      </c>
    </row>
    <row r="296" s="7" customFormat="1" spans="1:7">
      <c r="A296" s="9" t="s">
        <v>1582</v>
      </c>
      <c r="B296" s="9" t="s">
        <v>1580</v>
      </c>
      <c r="C296" s="9">
        <v>1</v>
      </c>
      <c r="D296" s="9" t="s">
        <v>1041</v>
      </c>
      <c r="E296" s="9" t="s">
        <v>46</v>
      </c>
      <c r="F296" s="9">
        <v>-1</v>
      </c>
      <c r="G296" s="9" t="s">
        <v>793</v>
      </c>
    </row>
    <row r="297" s="7" customFormat="1" spans="1:7">
      <c r="A297" s="9" t="s">
        <v>1583</v>
      </c>
      <c r="B297" s="9" t="s">
        <v>1580</v>
      </c>
      <c r="C297" s="9">
        <v>1</v>
      </c>
      <c r="D297" s="9" t="s">
        <v>1041</v>
      </c>
      <c r="E297" s="9" t="s">
        <v>46</v>
      </c>
      <c r="F297" s="9">
        <v>-1</v>
      </c>
      <c r="G297" s="9" t="s">
        <v>793</v>
      </c>
    </row>
    <row r="298" s="7" customFormat="1" spans="1:7">
      <c r="A298" s="9" t="s">
        <v>1584</v>
      </c>
      <c r="B298" s="9" t="s">
        <v>1580</v>
      </c>
      <c r="C298" s="9">
        <v>1</v>
      </c>
      <c r="D298" s="9" t="s">
        <v>1041</v>
      </c>
      <c r="E298" s="9" t="s">
        <v>46</v>
      </c>
      <c r="F298" s="9">
        <v>-1</v>
      </c>
      <c r="G298" s="9" t="s">
        <v>793</v>
      </c>
    </row>
    <row r="299" s="7" customFormat="1" spans="1:7">
      <c r="A299" s="9" t="s">
        <v>1585</v>
      </c>
      <c r="B299" s="9" t="s">
        <v>1580</v>
      </c>
      <c r="C299" s="9">
        <v>1</v>
      </c>
      <c r="D299" s="9" t="s">
        <v>1041</v>
      </c>
      <c r="E299" s="9" t="s">
        <v>46</v>
      </c>
      <c r="F299" s="9">
        <v>-1</v>
      </c>
      <c r="G299" s="9" t="s">
        <v>793</v>
      </c>
    </row>
    <row r="300" s="7" customFormat="1" spans="1:7">
      <c r="A300" s="9" t="s">
        <v>1586</v>
      </c>
      <c r="B300" s="9" t="s">
        <v>1580</v>
      </c>
      <c r="C300" s="9">
        <v>1</v>
      </c>
      <c r="D300" s="9" t="s">
        <v>1041</v>
      </c>
      <c r="E300" s="9" t="s">
        <v>46</v>
      </c>
      <c r="F300" s="9">
        <v>-1</v>
      </c>
      <c r="G300" s="9" t="s">
        <v>793</v>
      </c>
    </row>
    <row r="301" s="7" customFormat="1" spans="1:7">
      <c r="A301" s="9" t="s">
        <v>1587</v>
      </c>
      <c r="B301" s="9" t="s">
        <v>1580</v>
      </c>
      <c r="C301" s="9">
        <v>1</v>
      </c>
      <c r="D301" s="9" t="s">
        <v>1041</v>
      </c>
      <c r="E301" s="9" t="s">
        <v>46</v>
      </c>
      <c r="F301" s="9">
        <v>-1</v>
      </c>
      <c r="G301" s="9" t="s">
        <v>793</v>
      </c>
    </row>
    <row r="302" s="7" customFormat="1" spans="1:7">
      <c r="A302" s="9" t="s">
        <v>1588</v>
      </c>
      <c r="B302" s="9" t="s">
        <v>1580</v>
      </c>
      <c r="C302" s="9">
        <v>1</v>
      </c>
      <c r="D302" s="9" t="s">
        <v>1041</v>
      </c>
      <c r="E302" s="9" t="s">
        <v>46</v>
      </c>
      <c r="F302" s="9">
        <v>-1</v>
      </c>
      <c r="G302" s="9" t="s">
        <v>793</v>
      </c>
    </row>
    <row r="303" s="7" customFormat="1" spans="1:7">
      <c r="A303" s="9" t="s">
        <v>1589</v>
      </c>
      <c r="B303" s="9" t="s">
        <v>1580</v>
      </c>
      <c r="C303" s="9">
        <v>1</v>
      </c>
      <c r="D303" s="9" t="s">
        <v>1041</v>
      </c>
      <c r="E303" s="9" t="s">
        <v>46</v>
      </c>
      <c r="F303" s="9">
        <v>-1</v>
      </c>
      <c r="G303" s="9" t="s">
        <v>793</v>
      </c>
    </row>
    <row r="304" s="7" customFormat="1" spans="1:7">
      <c r="A304" s="9" t="s">
        <v>1590</v>
      </c>
      <c r="B304" s="9" t="s">
        <v>1580</v>
      </c>
      <c r="C304" s="9">
        <v>1</v>
      </c>
      <c r="D304" s="9" t="s">
        <v>1041</v>
      </c>
      <c r="E304" s="9" t="s">
        <v>46</v>
      </c>
      <c r="F304" s="9">
        <v>-1</v>
      </c>
      <c r="G304" s="9" t="s">
        <v>793</v>
      </c>
    </row>
    <row r="305" spans="1:7">
      <c r="A305" s="6" t="s">
        <v>1591</v>
      </c>
      <c r="B305" s="6" t="s">
        <v>1592</v>
      </c>
      <c r="C305" s="6">
        <v>1</v>
      </c>
      <c r="D305" s="9" t="s">
        <v>1041</v>
      </c>
      <c r="E305" s="6" t="s">
        <v>45</v>
      </c>
      <c r="F305" s="6">
        <v>-1</v>
      </c>
      <c r="G305" s="6" t="s">
        <v>793</v>
      </c>
    </row>
    <row r="306" spans="1:7">
      <c r="A306" s="6" t="s">
        <v>1593</v>
      </c>
      <c r="B306" s="6" t="s">
        <v>1592</v>
      </c>
      <c r="C306" s="6">
        <v>1</v>
      </c>
      <c r="D306" s="6" t="s">
        <v>1041</v>
      </c>
      <c r="E306" s="6" t="s">
        <v>45</v>
      </c>
      <c r="F306" s="6">
        <v>-1</v>
      </c>
      <c r="G306" s="6" t="s">
        <v>793</v>
      </c>
    </row>
    <row r="307" spans="1:7">
      <c r="A307" s="6" t="s">
        <v>1569</v>
      </c>
      <c r="B307" s="6" t="s">
        <v>1594</v>
      </c>
      <c r="C307" s="6">
        <v>1</v>
      </c>
      <c r="D307" s="6" t="s">
        <v>1041</v>
      </c>
      <c r="E307" s="6" t="s">
        <v>1595</v>
      </c>
      <c r="F307" s="6">
        <v>-1</v>
      </c>
      <c r="G307" s="6" t="s">
        <v>793</v>
      </c>
    </row>
    <row r="308" spans="1:7">
      <c r="A308" s="6" t="s">
        <v>1596</v>
      </c>
      <c r="B308" s="6" t="s">
        <v>1594</v>
      </c>
      <c r="C308" s="6">
        <v>1</v>
      </c>
      <c r="D308" s="6" t="s">
        <v>1041</v>
      </c>
      <c r="E308" s="6" t="s">
        <v>45</v>
      </c>
      <c r="F308" s="6">
        <v>-1</v>
      </c>
      <c r="G308" s="6" t="s">
        <v>793</v>
      </c>
    </row>
    <row r="309" spans="1:7">
      <c r="A309" s="6" t="s">
        <v>1597</v>
      </c>
      <c r="B309" s="6" t="s">
        <v>1594</v>
      </c>
      <c r="C309" s="6">
        <v>1</v>
      </c>
      <c r="D309" s="6" t="s">
        <v>1041</v>
      </c>
      <c r="E309" s="6" t="s">
        <v>45</v>
      </c>
      <c r="F309" s="6">
        <v>-1</v>
      </c>
      <c r="G309" s="6" t="s">
        <v>793</v>
      </c>
    </row>
    <row r="310" spans="1:7">
      <c r="A310" s="6" t="s">
        <v>1598</v>
      </c>
      <c r="B310" s="6" t="s">
        <v>1594</v>
      </c>
      <c r="C310" s="6">
        <v>1</v>
      </c>
      <c r="D310" s="6" t="s">
        <v>1041</v>
      </c>
      <c r="E310" s="6" t="s">
        <v>45</v>
      </c>
      <c r="F310" s="6">
        <v>-1</v>
      </c>
      <c r="G310" s="6" t="s">
        <v>793</v>
      </c>
    </row>
    <row r="311" spans="1:7">
      <c r="A311" s="6" t="s">
        <v>1599</v>
      </c>
      <c r="B311" s="6" t="s">
        <v>1594</v>
      </c>
      <c r="C311" s="6">
        <v>1</v>
      </c>
      <c r="D311" s="6" t="s">
        <v>1041</v>
      </c>
      <c r="E311" s="6" t="s">
        <v>45</v>
      </c>
      <c r="F311" s="6">
        <v>-1</v>
      </c>
      <c r="G311" s="6" t="s">
        <v>793</v>
      </c>
    </row>
    <row r="312" spans="1:7">
      <c r="A312" s="6" t="s">
        <v>1600</v>
      </c>
      <c r="B312" s="6" t="s">
        <v>1594</v>
      </c>
      <c r="C312" s="6">
        <v>1</v>
      </c>
      <c r="D312" s="6" t="s">
        <v>1041</v>
      </c>
      <c r="E312" s="6" t="s">
        <v>45</v>
      </c>
      <c r="F312" s="6">
        <v>-1</v>
      </c>
      <c r="G312" s="6" t="s">
        <v>793</v>
      </c>
    </row>
    <row r="313" spans="1:7">
      <c r="A313" s="6" t="s">
        <v>1601</v>
      </c>
      <c r="B313" s="6" t="s">
        <v>1594</v>
      </c>
      <c r="C313" s="6">
        <v>1</v>
      </c>
      <c r="D313" s="6" t="s">
        <v>1041</v>
      </c>
      <c r="E313" s="6" t="s">
        <v>45</v>
      </c>
      <c r="F313" s="6">
        <v>-1</v>
      </c>
      <c r="G313" s="6" t="s">
        <v>793</v>
      </c>
    </row>
  </sheetData>
  <autoFilter ref="A1:K313">
    <extLst/>
  </autoFilter>
  <pageMargins left="0.75" right="0.75" top="1" bottom="1" header="0.511805555555556" footer="0.511805555555556"/>
  <pageSetup paperSize="9" orientation="portrait"/>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4:L19"/>
  <sheetViews>
    <sheetView zoomScale="115" zoomScaleNormal="115" workbookViewId="0">
      <selection activeCell="I44" sqref="I44"/>
    </sheetView>
  </sheetViews>
  <sheetFormatPr defaultColWidth="9" defaultRowHeight="11.5"/>
  <cols>
    <col min="1" max="1" width="4.87272727272727" style="3" customWidth="1"/>
    <col min="2" max="2" width="10" style="3" customWidth="1"/>
    <col min="3" max="3" width="9.87272727272727" style="3" customWidth="1"/>
    <col min="4" max="4" width="9" style="3" customWidth="1"/>
    <col min="5" max="5" width="9" style="4"/>
    <col min="6" max="6" width="9" style="3"/>
    <col min="7" max="7" width="9" style="4"/>
    <col min="8" max="16384" width="9" style="3"/>
  </cols>
  <sheetData>
    <row r="4" spans="1:7">
      <c r="A4" s="3">
        <v>1</v>
      </c>
      <c r="B4" s="5" t="s">
        <v>1602</v>
      </c>
      <c r="C4" s="5" t="s">
        <v>1603</v>
      </c>
      <c r="D4" s="5" t="s">
        <v>1604</v>
      </c>
      <c r="E4" s="5">
        <v>0</v>
      </c>
      <c r="F4" s="5" t="s">
        <v>1289</v>
      </c>
      <c r="G4" s="5">
        <v>8</v>
      </c>
    </row>
    <row r="5" spans="2:7">
      <c r="B5" s="5"/>
      <c r="C5" s="5"/>
      <c r="D5" s="5" t="s">
        <v>1605</v>
      </c>
      <c r="E5" s="5">
        <v>1</v>
      </c>
      <c r="F5" s="5" t="s">
        <v>1606</v>
      </c>
      <c r="G5" s="5">
        <v>16</v>
      </c>
    </row>
    <row r="6" spans="2:7">
      <c r="B6" s="5"/>
      <c r="C6" s="5"/>
      <c r="D6" s="5"/>
      <c r="E6" s="5"/>
      <c r="F6" s="5" t="s">
        <v>1607</v>
      </c>
      <c r="G6" s="5">
        <v>32</v>
      </c>
    </row>
    <row r="9" spans="1:8">
      <c r="A9" s="3">
        <v>2</v>
      </c>
      <c r="B9" s="3" t="s">
        <v>78</v>
      </c>
      <c r="G9" s="4" t="s">
        <v>80</v>
      </c>
      <c r="H9" s="3" t="s">
        <v>81</v>
      </c>
    </row>
    <row r="17" spans="1:12">
      <c r="A17" s="3">
        <v>3</v>
      </c>
      <c r="B17" s="3" t="s">
        <v>792</v>
      </c>
      <c r="D17" s="3" t="s">
        <v>793</v>
      </c>
      <c r="F17" s="4" t="s">
        <v>794</v>
      </c>
      <c r="H17" s="3" t="s">
        <v>794</v>
      </c>
      <c r="L17" s="3" t="s">
        <v>1286</v>
      </c>
    </row>
    <row r="18" spans="6:12">
      <c r="F18" s="4" t="s">
        <v>1041</v>
      </c>
      <c r="H18" s="3" t="s">
        <v>1608</v>
      </c>
      <c r="L18" s="3" t="s">
        <v>795</v>
      </c>
    </row>
    <row r="19" spans="6:12">
      <c r="F19" s="4" t="s">
        <v>1609</v>
      </c>
      <c r="H19" s="3" t="s">
        <v>1610</v>
      </c>
      <c r="L19" s="3" t="s">
        <v>1611</v>
      </c>
    </row>
  </sheetData>
  <pageMargins left="0.699305555555556" right="0.699305555555556" top="0.75" bottom="0.75" header="0.3" footer="0.3"/>
  <pageSetup paperSize="9" orientation="portrait"/>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D15"/>
  <sheetViews>
    <sheetView zoomScale="160" zoomScaleNormal="160" workbookViewId="0">
      <selection activeCell="C8" sqref="C8"/>
    </sheetView>
  </sheetViews>
  <sheetFormatPr defaultColWidth="9" defaultRowHeight="14" outlineLevelCol="3"/>
  <cols>
    <col min="1" max="1" width="13.1272727272727" customWidth="1"/>
    <col min="2" max="2" width="22.2545454545455" customWidth="1"/>
    <col min="3" max="3" width="38.1272727272727" customWidth="1"/>
  </cols>
  <sheetData>
    <row r="1" spans="1:3">
      <c r="A1" t="s">
        <v>1612</v>
      </c>
      <c r="B1" t="s">
        <v>1613</v>
      </c>
      <c r="C1" t="s">
        <v>1614</v>
      </c>
    </row>
    <row r="2" spans="2:4">
      <c r="B2" t="s">
        <v>1615</v>
      </c>
      <c r="C2" t="s">
        <v>1616</v>
      </c>
      <c r="D2" t="s">
        <v>1617</v>
      </c>
    </row>
    <row r="3" spans="2:4">
      <c r="B3" t="s">
        <v>1618</v>
      </c>
      <c r="C3" t="s">
        <v>1619</v>
      </c>
      <c r="D3" t="s">
        <v>1620</v>
      </c>
    </row>
    <row r="4" spans="2:4">
      <c r="B4" t="s">
        <v>1621</v>
      </c>
      <c r="C4" t="s">
        <v>1622</v>
      </c>
      <c r="D4" t="s">
        <v>1623</v>
      </c>
    </row>
    <row r="5" spans="2:4">
      <c r="B5" t="s">
        <v>1624</v>
      </c>
      <c r="C5" t="s">
        <v>1625</v>
      </c>
      <c r="D5" t="s">
        <v>1626</v>
      </c>
    </row>
    <row r="6" spans="2:4">
      <c r="B6" t="s">
        <v>1627</v>
      </c>
      <c r="C6" t="s">
        <v>1628</v>
      </c>
      <c r="D6" t="s">
        <v>1629</v>
      </c>
    </row>
    <row r="7" spans="2:4">
      <c r="B7" t="s">
        <v>1630</v>
      </c>
      <c r="C7" t="s">
        <v>1631</v>
      </c>
      <c r="D7" t="s">
        <v>1632</v>
      </c>
    </row>
    <row r="8" spans="2:4">
      <c r="B8" t="s">
        <v>1633</v>
      </c>
      <c r="C8" t="s">
        <v>1634</v>
      </c>
      <c r="D8" t="s">
        <v>1635</v>
      </c>
    </row>
    <row r="9" spans="2:4">
      <c r="B9" t="s">
        <v>1636</v>
      </c>
      <c r="C9" t="s">
        <v>1637</v>
      </c>
      <c r="D9" t="s">
        <v>1629</v>
      </c>
    </row>
    <row r="10" spans="1:3">
      <c r="A10" t="s">
        <v>1638</v>
      </c>
      <c r="B10" t="s">
        <v>1639</v>
      </c>
      <c r="C10" t="s">
        <v>1640</v>
      </c>
    </row>
    <row r="11" spans="2:3">
      <c r="B11" t="s">
        <v>1641</v>
      </c>
      <c r="C11" t="s">
        <v>1642</v>
      </c>
    </row>
    <row r="12" spans="2:3">
      <c r="B12" t="s">
        <v>1643</v>
      </c>
      <c r="C12" t="s">
        <v>1644</v>
      </c>
    </row>
    <row r="13" spans="2:3">
      <c r="B13" t="s">
        <v>1627</v>
      </c>
      <c r="C13" t="s">
        <v>1645</v>
      </c>
    </row>
    <row r="14" spans="2:3">
      <c r="B14" t="s">
        <v>1646</v>
      </c>
      <c r="C14" t="s">
        <v>1647</v>
      </c>
    </row>
    <row r="15" spans="2:3">
      <c r="B15" t="s">
        <v>1648</v>
      </c>
      <c r="C15" t="s">
        <v>1649</v>
      </c>
    </row>
  </sheetData>
  <pageMargins left="0.699305555555556" right="0.699305555555556" top="0.75" bottom="0.75" header="0.3" footer="0.3"/>
  <pageSetup paperSize="9" orientation="portrait"/>
  <headerFooter/>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B3:AH95"/>
  <sheetViews>
    <sheetView zoomScale="85" zoomScaleNormal="85" topLeftCell="A55" workbookViewId="0">
      <selection activeCell="P103" sqref="P103"/>
    </sheetView>
  </sheetViews>
  <sheetFormatPr defaultColWidth="9" defaultRowHeight="14"/>
  <cols>
    <col min="9" max="9" width="9" customWidth="1"/>
  </cols>
  <sheetData>
    <row r="3" spans="2:2">
      <c r="B3" t="s">
        <v>704</v>
      </c>
    </row>
    <row r="4" spans="3:34">
      <c r="C4">
        <v>0</v>
      </c>
      <c r="D4">
        <v>500</v>
      </c>
      <c r="E4">
        <v>1000</v>
      </c>
      <c r="F4">
        <v>1500</v>
      </c>
      <c r="G4">
        <v>2000</v>
      </c>
      <c r="H4">
        <v>2500</v>
      </c>
      <c r="I4">
        <v>3000</v>
      </c>
      <c r="J4">
        <v>3500</v>
      </c>
      <c r="K4">
        <v>4000</v>
      </c>
      <c r="L4">
        <v>4500</v>
      </c>
      <c r="M4">
        <v>5000</v>
      </c>
      <c r="N4">
        <v>5500</v>
      </c>
      <c r="O4">
        <v>6000</v>
      </c>
      <c r="P4">
        <v>6500</v>
      </c>
      <c r="Q4">
        <v>7000</v>
      </c>
      <c r="R4">
        <v>7500</v>
      </c>
      <c r="S4">
        <v>8000</v>
      </c>
      <c r="T4">
        <v>8500</v>
      </c>
      <c r="U4">
        <v>9000</v>
      </c>
      <c r="V4">
        <v>9500</v>
      </c>
      <c r="W4">
        <v>10000</v>
      </c>
      <c r="X4">
        <v>10500</v>
      </c>
      <c r="Y4">
        <v>11000</v>
      </c>
      <c r="Z4">
        <v>11500</v>
      </c>
      <c r="AA4">
        <v>12000</v>
      </c>
      <c r="AB4">
        <v>12500</v>
      </c>
      <c r="AC4">
        <v>13000</v>
      </c>
      <c r="AD4">
        <v>13500</v>
      </c>
      <c r="AE4">
        <v>14000</v>
      </c>
      <c r="AF4">
        <v>14500</v>
      </c>
      <c r="AG4">
        <v>15000</v>
      </c>
      <c r="AH4">
        <v>18000</v>
      </c>
    </row>
    <row r="5" spans="3:34">
      <c r="C5">
        <v>0.3</v>
      </c>
      <c r="D5">
        <v>0.4</v>
      </c>
      <c r="E5">
        <v>0.494</v>
      </c>
      <c r="F5">
        <v>0.55</v>
      </c>
      <c r="G5">
        <v>0.584</v>
      </c>
      <c r="H5">
        <v>0.608</v>
      </c>
      <c r="I5">
        <v>0.627</v>
      </c>
      <c r="J5">
        <v>0.643</v>
      </c>
      <c r="K5">
        <v>0.658</v>
      </c>
      <c r="L5">
        <v>0.707</v>
      </c>
      <c r="M5">
        <v>0.749</v>
      </c>
      <c r="N5">
        <v>0.785</v>
      </c>
      <c r="O5">
        <v>0.816</v>
      </c>
      <c r="P5">
        <v>0.844</v>
      </c>
      <c r="Q5">
        <v>0.87</v>
      </c>
      <c r="R5">
        <v>0.893</v>
      </c>
      <c r="S5">
        <v>0.932</v>
      </c>
      <c r="T5">
        <v>0.97</v>
      </c>
      <c r="U5">
        <v>0.983</v>
      </c>
      <c r="V5">
        <v>0.993</v>
      </c>
      <c r="W5">
        <v>1.02</v>
      </c>
      <c r="X5">
        <v>1.05</v>
      </c>
      <c r="Y5">
        <v>1.085</v>
      </c>
      <c r="Z5">
        <v>1.16</v>
      </c>
      <c r="AA5">
        <v>1.24</v>
      </c>
      <c r="AB5">
        <v>1.32</v>
      </c>
      <c r="AC5">
        <v>1.4</v>
      </c>
      <c r="AD5">
        <v>1.5</v>
      </c>
      <c r="AE5">
        <v>1.6</v>
      </c>
      <c r="AF5">
        <v>1.75</v>
      </c>
      <c r="AG5">
        <v>1.9</v>
      </c>
      <c r="AH5">
        <v>3</v>
      </c>
    </row>
    <row r="6" spans="2:34">
      <c r="B6" t="s">
        <v>1650</v>
      </c>
      <c r="C6">
        <v>0</v>
      </c>
      <c r="D6">
        <v>0.2</v>
      </c>
      <c r="E6">
        <v>0.4</v>
      </c>
      <c r="F6">
        <v>0.6</v>
      </c>
      <c r="G6">
        <v>0.8</v>
      </c>
      <c r="H6">
        <v>1</v>
      </c>
      <c r="I6">
        <v>1.2</v>
      </c>
      <c r="J6">
        <v>1.4</v>
      </c>
      <c r="K6">
        <v>1.6</v>
      </c>
      <c r="L6">
        <v>1.8</v>
      </c>
      <c r="M6">
        <v>2</v>
      </c>
      <c r="N6">
        <v>2.25</v>
      </c>
      <c r="O6">
        <v>2.5</v>
      </c>
      <c r="P6">
        <v>2.75</v>
      </c>
      <c r="Q6">
        <v>3</v>
      </c>
      <c r="R6">
        <v>3.25</v>
      </c>
      <c r="S6">
        <v>3.5</v>
      </c>
      <c r="T6">
        <v>3.75</v>
      </c>
      <c r="U6">
        <v>4</v>
      </c>
      <c r="V6">
        <v>4.25</v>
      </c>
      <c r="W6">
        <v>4.5</v>
      </c>
      <c r="X6">
        <v>4.75</v>
      </c>
      <c r="Y6">
        <v>5</v>
      </c>
      <c r="Z6">
        <v>5.25</v>
      </c>
      <c r="AA6">
        <v>5.5</v>
      </c>
      <c r="AB6">
        <v>5.75</v>
      </c>
      <c r="AC6">
        <v>6</v>
      </c>
      <c r="AD6">
        <v>6.25</v>
      </c>
      <c r="AE6">
        <v>6.5</v>
      </c>
      <c r="AF6">
        <v>6.75</v>
      </c>
      <c r="AG6">
        <v>7</v>
      </c>
      <c r="AH6">
        <v>9.5</v>
      </c>
    </row>
    <row r="7" spans="3:34">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c r="AF7">
        <v>0</v>
      </c>
      <c r="AG7">
        <v>0</v>
      </c>
      <c r="AH7">
        <v>0</v>
      </c>
    </row>
    <row r="37" spans="8:13">
      <c r="H37">
        <v>-100000</v>
      </c>
      <c r="I37">
        <v>-90000</v>
      </c>
      <c r="J37">
        <v>-80000</v>
      </c>
      <c r="K37">
        <v>-70000</v>
      </c>
      <c r="L37">
        <v>-60000</v>
      </c>
      <c r="M37">
        <v>-50000</v>
      </c>
    </row>
    <row r="45" spans="4:13">
      <c r="D45">
        <v>0</v>
      </c>
      <c r="E45">
        <v>2000</v>
      </c>
      <c r="F45">
        <v>4000</v>
      </c>
      <c r="G45">
        <v>6000</v>
      </c>
      <c r="H45">
        <v>8000</v>
      </c>
      <c r="I45">
        <v>10000</v>
      </c>
      <c r="J45">
        <v>12000</v>
      </c>
      <c r="K45">
        <v>14000</v>
      </c>
      <c r="L45">
        <v>16000</v>
      </c>
      <c r="M45">
        <v>18000</v>
      </c>
    </row>
    <row r="46" spans="3:13">
      <c r="C46">
        <v>-180000</v>
      </c>
      <c r="D46">
        <v>0</v>
      </c>
      <c r="E46">
        <v>0</v>
      </c>
      <c r="F46">
        <v>0</v>
      </c>
      <c r="G46">
        <v>0</v>
      </c>
      <c r="H46">
        <v>0</v>
      </c>
      <c r="I46">
        <v>0</v>
      </c>
      <c r="J46">
        <v>0</v>
      </c>
      <c r="K46">
        <v>0</v>
      </c>
      <c r="L46">
        <v>0</v>
      </c>
      <c r="M46">
        <v>0</v>
      </c>
    </row>
    <row r="47" spans="3:13">
      <c r="C47">
        <v>-160000</v>
      </c>
      <c r="D47">
        <v>0</v>
      </c>
      <c r="E47">
        <v>0</v>
      </c>
      <c r="F47">
        <v>0</v>
      </c>
      <c r="G47">
        <v>0</v>
      </c>
      <c r="H47">
        <v>0</v>
      </c>
      <c r="I47">
        <v>0</v>
      </c>
      <c r="J47">
        <v>0</v>
      </c>
      <c r="K47">
        <v>0</v>
      </c>
      <c r="L47">
        <v>0</v>
      </c>
      <c r="M47">
        <v>0</v>
      </c>
    </row>
    <row r="48" spans="3:13">
      <c r="C48">
        <v>-140000</v>
      </c>
      <c r="D48">
        <v>0</v>
      </c>
      <c r="E48">
        <v>0</v>
      </c>
      <c r="F48">
        <v>0</v>
      </c>
      <c r="G48">
        <v>0</v>
      </c>
      <c r="H48">
        <v>0</v>
      </c>
      <c r="I48">
        <v>0</v>
      </c>
      <c r="J48">
        <v>0</v>
      </c>
      <c r="K48">
        <v>0</v>
      </c>
      <c r="L48">
        <v>0</v>
      </c>
      <c r="M48">
        <v>0</v>
      </c>
    </row>
    <row r="49" spans="3:13">
      <c r="C49">
        <v>-120000</v>
      </c>
      <c r="D49">
        <v>0</v>
      </c>
      <c r="E49">
        <v>0</v>
      </c>
      <c r="F49">
        <v>0</v>
      </c>
      <c r="G49">
        <v>0</v>
      </c>
      <c r="H49">
        <v>0</v>
      </c>
      <c r="I49">
        <v>0</v>
      </c>
      <c r="J49">
        <v>0</v>
      </c>
      <c r="K49">
        <v>0</v>
      </c>
      <c r="L49">
        <v>0</v>
      </c>
      <c r="M49">
        <v>0</v>
      </c>
    </row>
    <row r="50" spans="3:13">
      <c r="C50">
        <v>-100000</v>
      </c>
      <c r="D50">
        <v>0</v>
      </c>
      <c r="E50">
        <v>0</v>
      </c>
      <c r="F50">
        <v>0</v>
      </c>
      <c r="G50">
        <v>0</v>
      </c>
      <c r="H50">
        <v>0</v>
      </c>
      <c r="I50">
        <v>0</v>
      </c>
      <c r="J50">
        <v>0</v>
      </c>
      <c r="K50">
        <v>0</v>
      </c>
      <c r="L50">
        <v>0</v>
      </c>
      <c r="M50">
        <v>0</v>
      </c>
    </row>
    <row r="51" spans="3:13">
      <c r="C51">
        <v>-80000</v>
      </c>
      <c r="D51">
        <v>0</v>
      </c>
      <c r="E51">
        <v>0</v>
      </c>
      <c r="F51">
        <v>0</v>
      </c>
      <c r="G51">
        <v>0</v>
      </c>
      <c r="H51">
        <v>0</v>
      </c>
      <c r="I51">
        <v>0</v>
      </c>
      <c r="J51">
        <v>0</v>
      </c>
      <c r="K51">
        <v>0</v>
      </c>
      <c r="L51">
        <v>0</v>
      </c>
      <c r="M51">
        <v>0</v>
      </c>
    </row>
    <row r="52" spans="3:13">
      <c r="C52">
        <v>-60000</v>
      </c>
      <c r="D52">
        <v>0</v>
      </c>
      <c r="E52">
        <v>0</v>
      </c>
      <c r="F52">
        <v>0</v>
      </c>
      <c r="G52">
        <v>0</v>
      </c>
      <c r="H52">
        <v>0</v>
      </c>
      <c r="I52">
        <v>0</v>
      </c>
      <c r="J52">
        <v>0</v>
      </c>
      <c r="K52">
        <v>0</v>
      </c>
      <c r="L52">
        <v>0</v>
      </c>
      <c r="M52">
        <v>0</v>
      </c>
    </row>
    <row r="53" spans="3:13">
      <c r="C53">
        <v>-40000</v>
      </c>
      <c r="D53">
        <v>0</v>
      </c>
      <c r="E53">
        <v>0</v>
      </c>
      <c r="F53">
        <v>0</v>
      </c>
      <c r="G53">
        <v>0</v>
      </c>
      <c r="H53">
        <v>0</v>
      </c>
      <c r="I53">
        <v>0</v>
      </c>
      <c r="J53">
        <v>0</v>
      </c>
      <c r="K53">
        <v>0</v>
      </c>
      <c r="L53">
        <v>0</v>
      </c>
      <c r="M53">
        <v>0</v>
      </c>
    </row>
    <row r="54" spans="3:13">
      <c r="C54">
        <v>-20000</v>
      </c>
      <c r="D54">
        <v>0</v>
      </c>
      <c r="E54">
        <v>0</v>
      </c>
      <c r="F54">
        <v>0</v>
      </c>
      <c r="G54">
        <v>0</v>
      </c>
      <c r="H54">
        <v>0</v>
      </c>
      <c r="I54">
        <v>0</v>
      </c>
      <c r="J54">
        <v>0</v>
      </c>
      <c r="K54">
        <v>0</v>
      </c>
      <c r="L54">
        <v>0</v>
      </c>
      <c r="M54">
        <v>0</v>
      </c>
    </row>
    <row r="55" spans="3:13">
      <c r="C55">
        <v>0</v>
      </c>
      <c r="D55">
        <v>0</v>
      </c>
      <c r="E55">
        <v>0</v>
      </c>
      <c r="F55">
        <v>0</v>
      </c>
      <c r="G55">
        <v>0</v>
      </c>
      <c r="H55">
        <v>0</v>
      </c>
      <c r="I55">
        <v>0</v>
      </c>
      <c r="J55">
        <v>0</v>
      </c>
      <c r="K55">
        <v>0</v>
      </c>
      <c r="L55">
        <v>0</v>
      </c>
      <c r="M55">
        <v>0</v>
      </c>
    </row>
    <row r="56" spans="3:13">
      <c r="C56">
        <v>20000</v>
      </c>
      <c r="D56">
        <v>0</v>
      </c>
      <c r="E56">
        <v>0</v>
      </c>
      <c r="F56">
        <v>0</v>
      </c>
      <c r="G56">
        <v>0</v>
      </c>
      <c r="H56">
        <v>0</v>
      </c>
      <c r="I56">
        <v>0</v>
      </c>
      <c r="J56">
        <v>0</v>
      </c>
      <c r="K56">
        <v>0</v>
      </c>
      <c r="L56">
        <v>0</v>
      </c>
      <c r="M56">
        <v>0</v>
      </c>
    </row>
    <row r="57" spans="3:13">
      <c r="C57">
        <v>40000</v>
      </c>
      <c r="D57">
        <v>0</v>
      </c>
      <c r="E57">
        <v>0</v>
      </c>
      <c r="F57">
        <v>0</v>
      </c>
      <c r="G57">
        <v>0</v>
      </c>
      <c r="H57">
        <v>0</v>
      </c>
      <c r="I57">
        <v>0</v>
      </c>
      <c r="J57">
        <v>0</v>
      </c>
      <c r="K57">
        <v>0</v>
      </c>
      <c r="L57">
        <v>0</v>
      </c>
      <c r="M57">
        <v>0</v>
      </c>
    </row>
    <row r="58" spans="3:13">
      <c r="C58">
        <v>60000</v>
      </c>
      <c r="D58">
        <v>0</v>
      </c>
      <c r="E58">
        <v>0</v>
      </c>
      <c r="F58">
        <v>0</v>
      </c>
      <c r="G58">
        <v>0</v>
      </c>
      <c r="H58">
        <v>0</v>
      </c>
      <c r="I58">
        <v>0</v>
      </c>
      <c r="J58">
        <v>0</v>
      </c>
      <c r="K58">
        <v>0</v>
      </c>
      <c r="L58">
        <v>0</v>
      </c>
      <c r="M58">
        <v>0</v>
      </c>
    </row>
    <row r="59" spans="3:13">
      <c r="C59">
        <v>80000</v>
      </c>
      <c r="D59">
        <v>0</v>
      </c>
      <c r="E59">
        <v>0</v>
      </c>
      <c r="F59">
        <v>0</v>
      </c>
      <c r="G59">
        <v>0</v>
      </c>
      <c r="H59">
        <v>0</v>
      </c>
      <c r="I59">
        <v>0</v>
      </c>
      <c r="J59">
        <v>0</v>
      </c>
      <c r="K59">
        <v>0</v>
      </c>
      <c r="L59">
        <v>0</v>
      </c>
      <c r="M59">
        <v>0</v>
      </c>
    </row>
    <row r="60" spans="3:13">
      <c r="C60">
        <v>100000</v>
      </c>
      <c r="D60">
        <v>0</v>
      </c>
      <c r="E60">
        <v>0</v>
      </c>
      <c r="F60">
        <v>0</v>
      </c>
      <c r="G60">
        <v>0</v>
      </c>
      <c r="H60">
        <v>0</v>
      </c>
      <c r="I60">
        <v>0</v>
      </c>
      <c r="J60">
        <v>0</v>
      </c>
      <c r="K60">
        <v>0</v>
      </c>
      <c r="L60">
        <v>0</v>
      </c>
      <c r="M60">
        <v>0</v>
      </c>
    </row>
    <row r="61" spans="3:13">
      <c r="C61">
        <v>120000</v>
      </c>
      <c r="D61">
        <v>0</v>
      </c>
      <c r="E61">
        <v>0</v>
      </c>
      <c r="F61">
        <v>0</v>
      </c>
      <c r="G61">
        <v>0</v>
      </c>
      <c r="H61">
        <v>0</v>
      </c>
      <c r="I61">
        <v>0</v>
      </c>
      <c r="J61">
        <v>0</v>
      </c>
      <c r="K61">
        <v>0</v>
      </c>
      <c r="L61">
        <v>0</v>
      </c>
      <c r="M61">
        <v>0</v>
      </c>
    </row>
    <row r="62" spans="3:13">
      <c r="C62">
        <v>140000</v>
      </c>
      <c r="D62">
        <v>0</v>
      </c>
      <c r="E62">
        <v>0</v>
      </c>
      <c r="F62">
        <v>0</v>
      </c>
      <c r="G62">
        <v>0</v>
      </c>
      <c r="H62">
        <v>0</v>
      </c>
      <c r="I62">
        <v>0</v>
      </c>
      <c r="J62">
        <v>0</v>
      </c>
      <c r="K62">
        <v>0</v>
      </c>
      <c r="L62">
        <v>0</v>
      </c>
      <c r="M62">
        <v>0</v>
      </c>
    </row>
    <row r="63" spans="3:13">
      <c r="C63">
        <v>160000</v>
      </c>
      <c r="D63">
        <v>0</v>
      </c>
      <c r="E63">
        <v>0</v>
      </c>
      <c r="F63">
        <v>0</v>
      </c>
      <c r="G63">
        <v>0</v>
      </c>
      <c r="H63">
        <v>0</v>
      </c>
      <c r="I63">
        <v>0</v>
      </c>
      <c r="J63">
        <v>0</v>
      </c>
      <c r="K63">
        <v>0</v>
      </c>
      <c r="L63">
        <v>0</v>
      </c>
      <c r="M63">
        <v>0</v>
      </c>
    </row>
    <row r="64" spans="3:13">
      <c r="C64">
        <v>180000</v>
      </c>
      <c r="D64">
        <v>0</v>
      </c>
      <c r="E64">
        <v>0</v>
      </c>
      <c r="F64">
        <v>0</v>
      </c>
      <c r="G64">
        <v>0</v>
      </c>
      <c r="H64">
        <v>0</v>
      </c>
      <c r="I64">
        <v>0</v>
      </c>
      <c r="J64">
        <v>0</v>
      </c>
      <c r="K64">
        <v>0</v>
      </c>
      <c r="L64">
        <v>0</v>
      </c>
      <c r="M64">
        <v>0</v>
      </c>
    </row>
    <row r="69" spans="4:22">
      <c r="D69">
        <v>-180000</v>
      </c>
      <c r="E69">
        <v>-160000</v>
      </c>
      <c r="F69">
        <v>-140000</v>
      </c>
      <c r="G69">
        <v>-120000</v>
      </c>
      <c r="H69">
        <v>-100000</v>
      </c>
      <c r="I69">
        <v>-80000</v>
      </c>
      <c r="J69">
        <v>-60000</v>
      </c>
      <c r="K69">
        <v>-40000</v>
      </c>
      <c r="L69">
        <v>-20000</v>
      </c>
      <c r="M69">
        <v>0</v>
      </c>
      <c r="N69">
        <v>20000</v>
      </c>
      <c r="O69">
        <v>40000</v>
      </c>
      <c r="P69">
        <v>60000</v>
      </c>
      <c r="Q69">
        <v>80000</v>
      </c>
      <c r="R69">
        <v>100000</v>
      </c>
      <c r="S69">
        <v>120000</v>
      </c>
      <c r="T69">
        <v>140000</v>
      </c>
      <c r="U69">
        <v>160000</v>
      </c>
      <c r="V69">
        <v>180000</v>
      </c>
    </row>
    <row r="73" spans="2:2">
      <c r="B73" t="s">
        <v>678</v>
      </c>
    </row>
    <row r="74" spans="3:34">
      <c r="C74">
        <v>0</v>
      </c>
      <c r="D74">
        <v>500</v>
      </c>
      <c r="E74">
        <v>1000</v>
      </c>
      <c r="F74">
        <v>1500</v>
      </c>
      <c r="G74">
        <v>2000</v>
      </c>
      <c r="H74">
        <v>2500</v>
      </c>
      <c r="I74">
        <v>3000</v>
      </c>
      <c r="J74">
        <v>3500</v>
      </c>
      <c r="K74">
        <v>4000</v>
      </c>
      <c r="L74">
        <v>4500</v>
      </c>
      <c r="M74">
        <v>5000</v>
      </c>
      <c r="N74">
        <v>5500</v>
      </c>
      <c r="O74">
        <v>6000</v>
      </c>
      <c r="P74">
        <v>6500</v>
      </c>
      <c r="Q74">
        <v>7000</v>
      </c>
      <c r="R74">
        <v>7500</v>
      </c>
      <c r="S74">
        <v>8000</v>
      </c>
      <c r="T74">
        <v>8500</v>
      </c>
      <c r="U74">
        <v>9000</v>
      </c>
      <c r="V74">
        <v>9500</v>
      </c>
      <c r="W74">
        <v>10000</v>
      </c>
      <c r="X74">
        <v>10500</v>
      </c>
      <c r="Y74">
        <v>11000</v>
      </c>
      <c r="Z74">
        <v>11500</v>
      </c>
      <c r="AA74">
        <v>12000</v>
      </c>
      <c r="AB74">
        <v>12500</v>
      </c>
      <c r="AC74">
        <v>13000</v>
      </c>
      <c r="AD74">
        <v>13500</v>
      </c>
      <c r="AE74">
        <v>14000</v>
      </c>
      <c r="AF74">
        <v>14500</v>
      </c>
      <c r="AG74">
        <v>15000</v>
      </c>
      <c r="AH74">
        <v>18000</v>
      </c>
    </row>
    <row r="75" spans="2:34">
      <c r="B75">
        <v>200</v>
      </c>
      <c r="C75">
        <v>0</v>
      </c>
      <c r="D75">
        <v>0</v>
      </c>
      <c r="E75">
        <v>0</v>
      </c>
      <c r="F75">
        <v>0</v>
      </c>
      <c r="G75">
        <v>0</v>
      </c>
      <c r="H75">
        <v>0</v>
      </c>
      <c r="I75">
        <v>0</v>
      </c>
      <c r="J75">
        <v>0</v>
      </c>
      <c r="K75">
        <v>0</v>
      </c>
      <c r="L75">
        <v>0</v>
      </c>
      <c r="M75">
        <v>0</v>
      </c>
      <c r="N75">
        <v>0</v>
      </c>
      <c r="O75">
        <v>0</v>
      </c>
      <c r="P75">
        <v>0</v>
      </c>
      <c r="Q75">
        <v>0</v>
      </c>
      <c r="R75">
        <v>0</v>
      </c>
      <c r="S75">
        <v>0</v>
      </c>
      <c r="T75">
        <v>0</v>
      </c>
      <c r="U75">
        <v>0</v>
      </c>
      <c r="V75">
        <v>0</v>
      </c>
      <c r="W75">
        <v>0</v>
      </c>
      <c r="X75">
        <v>0</v>
      </c>
      <c r="Y75">
        <v>0</v>
      </c>
      <c r="Z75">
        <v>0</v>
      </c>
      <c r="AA75">
        <v>0</v>
      </c>
      <c r="AB75">
        <v>0</v>
      </c>
      <c r="AC75">
        <v>0</v>
      </c>
      <c r="AD75">
        <v>0</v>
      </c>
      <c r="AE75">
        <v>0</v>
      </c>
      <c r="AF75">
        <v>0</v>
      </c>
      <c r="AG75">
        <v>0</v>
      </c>
      <c r="AH75">
        <v>0</v>
      </c>
    </row>
    <row r="76" spans="2:34">
      <c r="B76">
        <v>250</v>
      </c>
      <c r="C76">
        <v>1</v>
      </c>
      <c r="D76">
        <v>1</v>
      </c>
      <c r="E76">
        <v>1</v>
      </c>
      <c r="F76">
        <v>1</v>
      </c>
      <c r="G76">
        <v>1</v>
      </c>
      <c r="H76">
        <v>1</v>
      </c>
      <c r="I76">
        <v>1</v>
      </c>
      <c r="J76">
        <v>1</v>
      </c>
      <c r="K76">
        <v>1</v>
      </c>
      <c r="L76">
        <v>1</v>
      </c>
      <c r="M76">
        <v>1</v>
      </c>
      <c r="N76">
        <v>1</v>
      </c>
      <c r="O76">
        <v>1</v>
      </c>
      <c r="P76">
        <v>1</v>
      </c>
      <c r="Q76">
        <v>1</v>
      </c>
      <c r="R76">
        <v>1</v>
      </c>
      <c r="S76">
        <v>1</v>
      </c>
      <c r="T76">
        <v>1</v>
      </c>
      <c r="U76">
        <v>1</v>
      </c>
      <c r="V76">
        <v>1</v>
      </c>
      <c r="W76">
        <v>1</v>
      </c>
      <c r="X76">
        <v>1</v>
      </c>
      <c r="Y76">
        <v>1</v>
      </c>
      <c r="Z76">
        <v>1</v>
      </c>
      <c r="AA76">
        <v>1</v>
      </c>
      <c r="AB76">
        <v>1</v>
      </c>
      <c r="AC76">
        <v>1</v>
      </c>
      <c r="AD76">
        <v>1</v>
      </c>
      <c r="AE76">
        <v>1</v>
      </c>
      <c r="AF76">
        <v>1</v>
      </c>
      <c r="AG76">
        <v>1</v>
      </c>
      <c r="AH76">
        <v>0</v>
      </c>
    </row>
    <row r="77" spans="2:34">
      <c r="B77">
        <v>400</v>
      </c>
      <c r="C77">
        <v>1</v>
      </c>
      <c r="D77">
        <v>1</v>
      </c>
      <c r="E77">
        <v>1</v>
      </c>
      <c r="F77">
        <v>1</v>
      </c>
      <c r="G77">
        <v>1</v>
      </c>
      <c r="H77">
        <v>1</v>
      </c>
      <c r="I77">
        <v>1</v>
      </c>
      <c r="J77">
        <v>1</v>
      </c>
      <c r="K77">
        <v>1</v>
      </c>
      <c r="L77">
        <v>1</v>
      </c>
      <c r="M77">
        <v>1</v>
      </c>
      <c r="N77">
        <v>1</v>
      </c>
      <c r="O77">
        <v>1</v>
      </c>
      <c r="P77">
        <v>1</v>
      </c>
      <c r="Q77">
        <v>1</v>
      </c>
      <c r="R77">
        <v>1</v>
      </c>
      <c r="S77">
        <v>1</v>
      </c>
      <c r="T77">
        <v>1</v>
      </c>
      <c r="U77">
        <v>1</v>
      </c>
      <c r="V77">
        <v>1</v>
      </c>
      <c r="W77">
        <v>1</v>
      </c>
      <c r="X77">
        <v>1</v>
      </c>
      <c r="Y77">
        <v>1</v>
      </c>
      <c r="Z77">
        <v>1</v>
      </c>
      <c r="AA77">
        <v>1</v>
      </c>
      <c r="AB77">
        <v>1</v>
      </c>
      <c r="AC77">
        <v>1</v>
      </c>
      <c r="AD77">
        <v>1</v>
      </c>
      <c r="AE77">
        <v>1</v>
      </c>
      <c r="AF77">
        <v>1</v>
      </c>
      <c r="AG77">
        <v>1</v>
      </c>
      <c r="AH77">
        <v>0</v>
      </c>
    </row>
    <row r="78" spans="2:34">
      <c r="B78">
        <v>450</v>
      </c>
      <c r="C78">
        <v>0</v>
      </c>
      <c r="D78">
        <v>0</v>
      </c>
      <c r="E78">
        <v>0</v>
      </c>
      <c r="F78">
        <v>0</v>
      </c>
      <c r="G78">
        <v>0</v>
      </c>
      <c r="H78">
        <v>0</v>
      </c>
      <c r="I78">
        <v>0</v>
      </c>
      <c r="J78">
        <v>0</v>
      </c>
      <c r="K78">
        <v>0</v>
      </c>
      <c r="L78">
        <v>0</v>
      </c>
      <c r="M78">
        <v>0</v>
      </c>
      <c r="N78">
        <v>0</v>
      </c>
      <c r="O78">
        <v>0</v>
      </c>
      <c r="P78">
        <v>0</v>
      </c>
      <c r="Q78">
        <v>0</v>
      </c>
      <c r="R78">
        <v>0</v>
      </c>
      <c r="S78">
        <v>0</v>
      </c>
      <c r="T78">
        <v>0</v>
      </c>
      <c r="U78">
        <v>0</v>
      </c>
      <c r="V78">
        <v>0</v>
      </c>
      <c r="W78">
        <v>0</v>
      </c>
      <c r="X78">
        <v>0</v>
      </c>
      <c r="Y78">
        <v>0</v>
      </c>
      <c r="Z78">
        <v>0</v>
      </c>
      <c r="AA78">
        <v>0</v>
      </c>
      <c r="AB78">
        <v>0</v>
      </c>
      <c r="AC78">
        <v>0</v>
      </c>
      <c r="AD78">
        <v>0</v>
      </c>
      <c r="AE78">
        <v>0</v>
      </c>
      <c r="AF78">
        <v>0</v>
      </c>
      <c r="AG78">
        <v>0</v>
      </c>
      <c r="AH78">
        <v>0</v>
      </c>
    </row>
    <row r="79" spans="2:34">
      <c r="B79">
        <v>600</v>
      </c>
      <c r="C79">
        <v>0</v>
      </c>
      <c r="D79">
        <v>0</v>
      </c>
      <c r="E79">
        <v>0</v>
      </c>
      <c r="F79">
        <v>0</v>
      </c>
      <c r="G79">
        <v>0</v>
      </c>
      <c r="H79">
        <v>0</v>
      </c>
      <c r="I79">
        <v>0</v>
      </c>
      <c r="J79">
        <v>0</v>
      </c>
      <c r="K79">
        <v>0</v>
      </c>
      <c r="L79">
        <v>0</v>
      </c>
      <c r="M79">
        <v>0</v>
      </c>
      <c r="N79">
        <v>0</v>
      </c>
      <c r="O79">
        <v>0</v>
      </c>
      <c r="P79">
        <v>0</v>
      </c>
      <c r="Q79">
        <v>0</v>
      </c>
      <c r="R79">
        <v>0</v>
      </c>
      <c r="S79">
        <v>0</v>
      </c>
      <c r="T79">
        <v>0</v>
      </c>
      <c r="U79">
        <v>0</v>
      </c>
      <c r="V79">
        <v>0</v>
      </c>
      <c r="W79">
        <v>0</v>
      </c>
      <c r="X79">
        <v>0</v>
      </c>
      <c r="Y79">
        <v>0</v>
      </c>
      <c r="Z79">
        <v>0</v>
      </c>
      <c r="AA79">
        <v>0</v>
      </c>
      <c r="AB79">
        <v>0</v>
      </c>
      <c r="AC79">
        <v>0</v>
      </c>
      <c r="AD79">
        <v>0</v>
      </c>
      <c r="AE79">
        <v>0</v>
      </c>
      <c r="AF79">
        <v>0</v>
      </c>
      <c r="AG79">
        <v>0</v>
      </c>
      <c r="AH79">
        <v>0</v>
      </c>
    </row>
    <row r="84" spans="2:2">
      <c r="B84" t="s">
        <v>723</v>
      </c>
    </row>
    <row r="86" spans="2:26">
      <c r="B86" s="1" t="s">
        <v>1651</v>
      </c>
      <c r="C86" s="1" t="s">
        <v>1652</v>
      </c>
      <c r="D86" s="1" t="s">
        <v>1653</v>
      </c>
      <c r="E86" s="1" t="s">
        <v>1654</v>
      </c>
      <c r="F86">
        <v>0</v>
      </c>
      <c r="G86">
        <v>20</v>
      </c>
      <c r="H86">
        <v>40</v>
      </c>
      <c r="I86">
        <v>60</v>
      </c>
      <c r="J86">
        <v>80</v>
      </c>
      <c r="K86">
        <v>100</v>
      </c>
      <c r="L86">
        <v>120</v>
      </c>
      <c r="M86">
        <v>140</v>
      </c>
      <c r="N86">
        <v>160</v>
      </c>
      <c r="O86">
        <v>180</v>
      </c>
      <c r="P86">
        <v>200</v>
      </c>
      <c r="Q86">
        <v>220</v>
      </c>
      <c r="R86">
        <v>240</v>
      </c>
      <c r="S86">
        <v>260</v>
      </c>
      <c r="T86">
        <v>280</v>
      </c>
      <c r="U86">
        <v>300</v>
      </c>
      <c r="V86">
        <v>320</v>
      </c>
      <c r="W86">
        <v>340</v>
      </c>
      <c r="X86">
        <v>360</v>
      </c>
      <c r="Y86">
        <v>380</v>
      </c>
      <c r="Z86">
        <v>400</v>
      </c>
    </row>
    <row r="87" spans="2:26">
      <c r="B87" s="1">
        <v>200</v>
      </c>
      <c r="C87" s="1">
        <v>13300</v>
      </c>
      <c r="D87" s="1">
        <f t="shared" ref="D87:D94" si="0">B87*1.03/2.45/(C87/60*4*2*PI())</f>
        <v>0.0150924896165093</v>
      </c>
      <c r="E87" s="1">
        <v>0.015</v>
      </c>
      <c r="F87">
        <v>-180</v>
      </c>
      <c r="G87">
        <v>-205</v>
      </c>
      <c r="H87">
        <v>-250</v>
      </c>
      <c r="I87">
        <v>-280</v>
      </c>
      <c r="J87">
        <v>-330</v>
      </c>
      <c r="K87">
        <v>-330</v>
      </c>
      <c r="L87">
        <v>-330</v>
      </c>
      <c r="M87">
        <v>-330</v>
      </c>
      <c r="N87">
        <v>-330</v>
      </c>
      <c r="O87">
        <v>-330</v>
      </c>
      <c r="P87">
        <v>-330</v>
      </c>
      <c r="Q87">
        <v>-330</v>
      </c>
      <c r="R87">
        <v>-330</v>
      </c>
      <c r="S87">
        <v>-330</v>
      </c>
      <c r="T87">
        <v>-330</v>
      </c>
      <c r="U87">
        <v>-330</v>
      </c>
      <c r="V87">
        <v>-330</v>
      </c>
      <c r="W87">
        <v>-330</v>
      </c>
      <c r="X87">
        <v>-330</v>
      </c>
      <c r="Y87">
        <v>-330</v>
      </c>
      <c r="Z87">
        <v>-330</v>
      </c>
    </row>
    <row r="88" spans="2:26">
      <c r="B88" s="1">
        <v>200</v>
      </c>
      <c r="C88" s="1">
        <v>10000</v>
      </c>
      <c r="D88" s="1">
        <f t="shared" si="0"/>
        <v>0.0200730111899574</v>
      </c>
      <c r="E88" s="1">
        <v>0.02</v>
      </c>
      <c r="F88">
        <v>-135</v>
      </c>
      <c r="G88">
        <v>-156</v>
      </c>
      <c r="H88">
        <v>-196</v>
      </c>
      <c r="I88">
        <v>-250</v>
      </c>
      <c r="J88">
        <v>-288</v>
      </c>
      <c r="K88">
        <v>-330</v>
      </c>
      <c r="L88">
        <v>-330</v>
      </c>
      <c r="M88">
        <v>-330</v>
      </c>
      <c r="N88">
        <v>-330</v>
      </c>
      <c r="O88">
        <v>-330</v>
      </c>
      <c r="P88">
        <v>-330</v>
      </c>
      <c r="Q88">
        <v>-330</v>
      </c>
      <c r="R88">
        <v>-330</v>
      </c>
      <c r="S88">
        <v>-330</v>
      </c>
      <c r="T88">
        <v>-330</v>
      </c>
      <c r="U88">
        <v>-330</v>
      </c>
      <c r="V88">
        <v>-330</v>
      </c>
      <c r="W88">
        <v>-330</v>
      </c>
      <c r="X88">
        <v>-330</v>
      </c>
      <c r="Y88">
        <v>-330</v>
      </c>
      <c r="Z88">
        <v>-330</v>
      </c>
    </row>
    <row r="89" spans="2:26">
      <c r="B89" s="1">
        <v>250</v>
      </c>
      <c r="C89" s="1">
        <v>10000</v>
      </c>
      <c r="D89" s="1">
        <f t="shared" si="0"/>
        <v>0.0250912639874468</v>
      </c>
      <c r="E89" s="1">
        <v>0.025</v>
      </c>
      <c r="F89">
        <v>-95</v>
      </c>
      <c r="G89">
        <v>-115</v>
      </c>
      <c r="H89">
        <v>-160</v>
      </c>
      <c r="I89">
        <v>-200</v>
      </c>
      <c r="J89">
        <v>-255</v>
      </c>
      <c r="K89">
        <v>-295</v>
      </c>
      <c r="L89">
        <v>-330</v>
      </c>
      <c r="M89">
        <v>-330</v>
      </c>
      <c r="N89">
        <v>-330</v>
      </c>
      <c r="O89">
        <v>-330</v>
      </c>
      <c r="P89">
        <v>-330</v>
      </c>
      <c r="Q89">
        <v>-330</v>
      </c>
      <c r="R89">
        <v>-330</v>
      </c>
      <c r="S89">
        <v>-330</v>
      </c>
      <c r="T89">
        <v>-330</v>
      </c>
      <c r="U89">
        <v>-330</v>
      </c>
      <c r="V89">
        <v>-330</v>
      </c>
      <c r="W89">
        <v>-330</v>
      </c>
      <c r="X89">
        <v>-330</v>
      </c>
      <c r="Y89">
        <v>-330</v>
      </c>
      <c r="Z89">
        <v>-330</v>
      </c>
    </row>
    <row r="90" spans="2:26">
      <c r="B90" s="1">
        <v>300</v>
      </c>
      <c r="C90" s="1">
        <v>10000</v>
      </c>
      <c r="D90" s="1">
        <f t="shared" si="0"/>
        <v>0.0301095167849361</v>
      </c>
      <c r="E90" s="1">
        <v>0.03</v>
      </c>
      <c r="F90">
        <v>-57</v>
      </c>
      <c r="G90">
        <v>-75</v>
      </c>
      <c r="H90">
        <v>-122</v>
      </c>
      <c r="I90">
        <v>-165</v>
      </c>
      <c r="J90">
        <v>-210</v>
      </c>
      <c r="K90">
        <v>-260</v>
      </c>
      <c r="L90">
        <v>-302</v>
      </c>
      <c r="M90">
        <v>-330</v>
      </c>
      <c r="N90">
        <v>-330</v>
      </c>
      <c r="O90">
        <v>-330</v>
      </c>
      <c r="P90">
        <v>-330</v>
      </c>
      <c r="Q90">
        <v>-330</v>
      </c>
      <c r="R90">
        <v>-330</v>
      </c>
      <c r="S90">
        <v>-330</v>
      </c>
      <c r="T90">
        <v>-330</v>
      </c>
      <c r="U90">
        <v>-330</v>
      </c>
      <c r="V90">
        <v>-330</v>
      </c>
      <c r="W90">
        <v>-330</v>
      </c>
      <c r="X90">
        <v>-330</v>
      </c>
      <c r="Y90">
        <v>-330</v>
      </c>
      <c r="Z90">
        <v>-330</v>
      </c>
    </row>
    <row r="91" spans="2:26">
      <c r="B91" s="1">
        <v>350</v>
      </c>
      <c r="C91" s="1">
        <v>10000</v>
      </c>
      <c r="D91" s="1">
        <f t="shared" si="0"/>
        <v>0.0351277695824255</v>
      </c>
      <c r="E91" s="1">
        <v>0.035</v>
      </c>
      <c r="F91">
        <v>-15</v>
      </c>
      <c r="G91">
        <v>-40</v>
      </c>
      <c r="H91">
        <v>-86</v>
      </c>
      <c r="I91">
        <v>-122</v>
      </c>
      <c r="J91">
        <v>-172</v>
      </c>
      <c r="K91">
        <v>-212</v>
      </c>
      <c r="L91">
        <v>-265</v>
      </c>
      <c r="M91">
        <v>-310</v>
      </c>
      <c r="N91">
        <v>-330</v>
      </c>
      <c r="O91">
        <v>-330</v>
      </c>
      <c r="P91">
        <v>-330</v>
      </c>
      <c r="Q91">
        <v>-330</v>
      </c>
      <c r="R91">
        <v>-330</v>
      </c>
      <c r="S91">
        <v>-330</v>
      </c>
      <c r="T91">
        <v>-330</v>
      </c>
      <c r="U91">
        <v>-330</v>
      </c>
      <c r="V91">
        <v>-330</v>
      </c>
      <c r="W91">
        <v>-330</v>
      </c>
      <c r="X91">
        <v>-330</v>
      </c>
      <c r="Y91">
        <v>-330</v>
      </c>
      <c r="Z91">
        <v>-330</v>
      </c>
    </row>
    <row r="92" spans="2:26">
      <c r="B92" s="1">
        <v>400</v>
      </c>
      <c r="C92" s="1">
        <v>10000</v>
      </c>
      <c r="D92" s="1">
        <f t="shared" si="0"/>
        <v>0.0401460223799148</v>
      </c>
      <c r="E92" s="1">
        <v>0.04</v>
      </c>
      <c r="F92">
        <v>0</v>
      </c>
      <c r="G92">
        <v>-8</v>
      </c>
      <c r="H92">
        <v>-50</v>
      </c>
      <c r="I92">
        <v>-90</v>
      </c>
      <c r="J92">
        <v>-140</v>
      </c>
      <c r="K92">
        <v>-180</v>
      </c>
      <c r="L92">
        <v>-220</v>
      </c>
      <c r="M92">
        <v>-268</v>
      </c>
      <c r="N92">
        <v>-312</v>
      </c>
      <c r="O92">
        <v>-330</v>
      </c>
      <c r="P92">
        <v>-330</v>
      </c>
      <c r="Q92">
        <v>-330</v>
      </c>
      <c r="R92">
        <v>-330</v>
      </c>
      <c r="S92">
        <v>-330</v>
      </c>
      <c r="T92">
        <v>-330</v>
      </c>
      <c r="U92">
        <v>-330</v>
      </c>
      <c r="V92">
        <v>-330</v>
      </c>
      <c r="W92">
        <v>-330</v>
      </c>
      <c r="X92">
        <v>-330</v>
      </c>
      <c r="Y92">
        <v>-330</v>
      </c>
      <c r="Z92">
        <v>-330</v>
      </c>
    </row>
    <row r="93" spans="2:26">
      <c r="B93" s="1">
        <v>400</v>
      </c>
      <c r="C93" s="1">
        <v>6670</v>
      </c>
      <c r="D93" s="1">
        <f t="shared" si="0"/>
        <v>0.0601889391003221</v>
      </c>
      <c r="E93" s="1">
        <v>0.06</v>
      </c>
      <c r="F93">
        <v>0</v>
      </c>
      <c r="G93">
        <v>-5</v>
      </c>
      <c r="H93">
        <v>-28</v>
      </c>
      <c r="I93">
        <v>-45</v>
      </c>
      <c r="J93">
        <v>-70</v>
      </c>
      <c r="K93">
        <v>-85</v>
      </c>
      <c r="L93">
        <v>-105</v>
      </c>
      <c r="M93">
        <v>-125</v>
      </c>
      <c r="N93">
        <v>-160</v>
      </c>
      <c r="O93">
        <v>-195</v>
      </c>
      <c r="P93">
        <v>-235</v>
      </c>
      <c r="Q93">
        <v>-275</v>
      </c>
      <c r="R93">
        <v>-310</v>
      </c>
      <c r="S93">
        <v>-330</v>
      </c>
      <c r="T93">
        <v>-330</v>
      </c>
      <c r="U93">
        <v>-330</v>
      </c>
      <c r="V93">
        <v>-330</v>
      </c>
      <c r="W93">
        <v>-330</v>
      </c>
      <c r="X93">
        <v>-330</v>
      </c>
      <c r="Y93">
        <v>-330</v>
      </c>
      <c r="Z93">
        <v>-330</v>
      </c>
    </row>
    <row r="94" spans="2:26">
      <c r="B94" s="1">
        <v>400</v>
      </c>
      <c r="C94" s="1">
        <v>4460</v>
      </c>
      <c r="D94" s="1">
        <f t="shared" si="0"/>
        <v>0.0900135030939794</v>
      </c>
      <c r="E94" s="1">
        <v>0.09</v>
      </c>
      <c r="F94" s="2">
        <v>0</v>
      </c>
      <c r="G94" s="2">
        <v>-5</v>
      </c>
      <c r="H94" s="2">
        <v>-28</v>
      </c>
      <c r="I94" s="2">
        <v>-45</v>
      </c>
      <c r="J94" s="2">
        <v>-69</v>
      </c>
      <c r="K94" s="2">
        <v>-85</v>
      </c>
      <c r="L94" s="2">
        <v>-105</v>
      </c>
      <c r="M94" s="2">
        <v>-125</v>
      </c>
      <c r="N94" s="2">
        <v>-149</v>
      </c>
      <c r="O94" s="2">
        <v>-173</v>
      </c>
      <c r="P94" s="2">
        <v>-196</v>
      </c>
      <c r="Q94" s="2">
        <v>-209</v>
      </c>
      <c r="R94" s="2">
        <v>-231</v>
      </c>
      <c r="S94" s="2">
        <v>-252</v>
      </c>
      <c r="T94" s="2">
        <v>-273</v>
      </c>
      <c r="U94" s="2">
        <v>-303</v>
      </c>
      <c r="V94">
        <v>-330</v>
      </c>
      <c r="W94">
        <v>-330</v>
      </c>
      <c r="X94">
        <v>-330</v>
      </c>
      <c r="Y94">
        <v>-330</v>
      </c>
      <c r="Z94">
        <v>-330</v>
      </c>
    </row>
    <row r="95" spans="6:26">
      <c r="F95" s="2"/>
      <c r="G95" s="2"/>
      <c r="H95" s="2"/>
      <c r="I95" s="2"/>
      <c r="J95" s="2"/>
      <c r="K95" s="2"/>
      <c r="L95" s="2"/>
      <c r="M95" s="2"/>
      <c r="N95" s="2"/>
      <c r="O95" s="2"/>
      <c r="P95" s="2"/>
      <c r="Q95" s="2"/>
      <c r="R95" s="2"/>
      <c r="S95" s="2"/>
      <c r="T95" s="2"/>
      <c r="U95" s="2"/>
      <c r="V95" s="2"/>
      <c r="W95" s="2"/>
      <c r="X95" s="2"/>
      <c r="Y95" s="2"/>
      <c r="Z95" s="2"/>
    </row>
  </sheetData>
  <pageMargins left="0.699305555555556" right="0.699305555555556" top="0.75" bottom="0.75" header="0.3" footer="0.3"/>
  <pageSetup paperSize="9" orientation="portrait"/>
  <headerFooter/>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E3:F5"/>
  <sheetViews>
    <sheetView workbookViewId="0">
      <selection activeCell="H20" sqref="H20"/>
    </sheetView>
  </sheetViews>
  <sheetFormatPr defaultColWidth="9" defaultRowHeight="14" outlineLevelRow="4" outlineLevelCol="5"/>
  <cols>
    <col min="6" max="6" width="11.6272727272727" customWidth="1"/>
  </cols>
  <sheetData>
    <row r="3" spans="5:6">
      <c r="E3">
        <v>65535</v>
      </c>
      <c r="F3">
        <f>E3^2</f>
        <v>4294836225</v>
      </c>
    </row>
    <row r="5" spans="6:6">
      <c r="F5">
        <v>4294836225</v>
      </c>
    </row>
  </sheetData>
  <pageMargins left="0.7" right="0.7" top="0.75" bottom="0.75" header="0.3" footer="0.3"/>
  <pageSetup paperSize="9" orientation="portrait"/>
  <headerFooter/>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11</vt:i4>
      </vt:variant>
    </vt:vector>
  </HeadingPairs>
  <TitlesOfParts>
    <vt:vector size="11" baseType="lpstr">
      <vt:lpstr>Overview</vt:lpstr>
      <vt:lpstr>DataTypeDefinition</vt:lpstr>
      <vt:lpstr>ParameterDefinition</vt:lpstr>
      <vt:lpstr>ParameterDefinition2</vt:lpstr>
      <vt:lpstr>TableDefinition</vt:lpstr>
      <vt:lpstr>SignalDefinition</vt:lpstr>
      <vt:lpstr>BusDefinition</vt:lpstr>
      <vt:lpstr>Comment</vt:lpstr>
      <vt:lpstr>ModuleDefination</vt:lpstr>
      <vt:lpstr>TableProcess</vt: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xingchun.zhang</dc:creator>
  <cp:lastModifiedBy>M00063473</cp:lastModifiedBy>
  <dcterms:created xsi:type="dcterms:W3CDTF">2006-09-16T00:00:00Z</dcterms:created>
  <dcterms:modified xsi:type="dcterms:W3CDTF">2025-10-30T02:11:40Z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2052-11.8.2.11813</vt:lpwstr>
  </property>
  <property fmtid="{D5CDD505-2E9C-101B-9397-08002B2CF9AE}" pid="3" name="ICV">
    <vt:lpwstr>6DE9096F874540A09ACFCD147B0D086D</vt:lpwstr>
  </property>
</Properties>
</file>