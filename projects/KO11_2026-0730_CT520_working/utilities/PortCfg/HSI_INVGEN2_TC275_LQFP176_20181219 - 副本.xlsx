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DieseArbeitsmappe"/>
  <bookViews>
    <workbookView xWindow="-270" yWindow="-225" windowWidth="10590" windowHeight="8340" tabRatio="732" activeTab="1"/>
  </bookViews>
  <sheets>
    <sheet name="ChangeHistory" sheetId="5" r:id="rId1"/>
    <sheet name="HSI" sheetId="4" r:id="rId2"/>
    <sheet name="REF" sheetId="16" r:id="rId3"/>
    <sheet name="TC275" sheetId="15" r:id="rId4"/>
  </sheets>
  <externalReferences>
    <externalReference r:id="rId5"/>
    <externalReference r:id="rId6"/>
  </externalReferences>
  <definedNames>
    <definedName name="Angebotsart" localSheetId="1">[1]Definitionen!#REF!</definedName>
    <definedName name="Angebotsart" localSheetId="3">[1]Definitionen!#REF!</definedName>
    <definedName name="Angebotsart">[1]Definitionen!#REF!</definedName>
    <definedName name="Bezeichnung">"'Z18S2':'Z32S2'"</definedName>
    <definedName name="GPTA0_P2.9_I4" localSheetId="3">#REF!</definedName>
    <definedName name="GPTA0_P2.9_I4">#REF!</definedName>
    <definedName name="GTM_INT" localSheetId="3">#REF!</definedName>
    <definedName name="GTM_INT">#REF!</definedName>
    <definedName name="GTM_IO" localSheetId="3">#REF!</definedName>
    <definedName name="GTM_IO">#REF!</definedName>
    <definedName name="GTM_IRQ">#REF!</definedName>
    <definedName name="Prefix" localSheetId="1">[2]Definitions!#REF!</definedName>
    <definedName name="Prefix" localSheetId="3">[2]Definitions!#REF!</definedName>
    <definedName name="Prefix">[2]Definitions!#REF!</definedName>
    <definedName name="Pulldown" localSheetId="1">[2]Definitions!#REF!</definedName>
    <definedName name="Pulldown" localSheetId="3">[2]Definitions!#REF!</definedName>
    <definedName name="Pulldown">[2]Definitions!#REF!</definedName>
    <definedName name="SOP" localSheetId="1">'[1]2. Projekt Technik'!#REF!</definedName>
    <definedName name="SOP">'[1]2. Projekt Technik'!#REF!</definedName>
    <definedName name="Szenario" localSheetId="1">'[1]2. Projekt Technik'!#REF!</definedName>
    <definedName name="Szenario">'[1]2. Projekt Technik'!#REF!</definedName>
    <definedName name="Variant" localSheetId="3">#REF!</definedName>
    <definedName name="Variant">#REF!</definedName>
  </definedNames>
  <calcPr calcId="144525"/>
</workbook>
</file>

<file path=xl/calcChain.xml><?xml version="1.0" encoding="utf-8"?>
<calcChain xmlns="http://schemas.openxmlformats.org/spreadsheetml/2006/main">
  <c r="C168" i="16" l="1"/>
  <c r="C21" i="16"/>
  <c r="C126" i="16"/>
  <c r="F117" i="4"/>
  <c r="F44" i="4"/>
  <c r="F92" i="4"/>
  <c r="F43" i="4"/>
  <c r="W18" i="15"/>
  <c r="AN23" i="15"/>
  <c r="F97" i="4"/>
  <c r="AN32" i="15"/>
  <c r="F31" i="4"/>
  <c r="S23" i="15"/>
  <c r="C91" i="16"/>
  <c r="C10" i="16"/>
  <c r="F55" i="4"/>
  <c r="F16" i="4"/>
  <c r="C170" i="16"/>
  <c r="C120" i="16"/>
  <c r="S30" i="15"/>
  <c r="AN33" i="15"/>
  <c r="F61" i="4"/>
  <c r="C62" i="16"/>
  <c r="C56" i="16"/>
  <c r="C46" i="16"/>
  <c r="F12" i="4"/>
  <c r="C92" i="16"/>
  <c r="C38" i="16"/>
  <c r="S20" i="15"/>
  <c r="C18" i="16"/>
  <c r="F62" i="4"/>
  <c r="W35" i="15"/>
  <c r="C23" i="16"/>
  <c r="C32" i="16"/>
  <c r="C153" i="16"/>
  <c r="C119" i="16"/>
  <c r="F78" i="4"/>
  <c r="F56" i="4"/>
  <c r="W51" i="15"/>
  <c r="F98" i="4"/>
  <c r="B30" i="15"/>
  <c r="C138" i="16"/>
  <c r="C84" i="16"/>
  <c r="F126" i="4"/>
  <c r="F94" i="4"/>
  <c r="F118" i="4"/>
  <c r="F77" i="4"/>
  <c r="C89" i="16"/>
  <c r="F37" i="4"/>
  <c r="C141" i="16"/>
  <c r="C76" i="16"/>
  <c r="C142" i="16"/>
  <c r="C137" i="16"/>
  <c r="C148" i="16"/>
  <c r="C43" i="16"/>
  <c r="F119" i="4"/>
  <c r="F47" i="4"/>
  <c r="C22" i="16"/>
  <c r="F137" i="4"/>
  <c r="C40" i="16"/>
  <c r="F52" i="4"/>
  <c r="S39" i="15"/>
  <c r="C98" i="16"/>
  <c r="C135" i="16"/>
  <c r="F85" i="4"/>
  <c r="C110" i="16"/>
  <c r="C15" i="16"/>
  <c r="B24" i="15" s="1"/>
  <c r="C169" i="16"/>
  <c r="F73" i="4"/>
  <c r="C97" i="16"/>
  <c r="S47" i="15" s="1"/>
  <c r="F57" i="4"/>
  <c r="C99" i="16"/>
  <c r="F100" i="4"/>
  <c r="C45" i="16"/>
  <c r="B37" i="15"/>
  <c r="C136" i="16"/>
  <c r="C24" i="16"/>
  <c r="F10" i="4"/>
  <c r="F114" i="4"/>
  <c r="C140" i="16"/>
  <c r="AN48" i="15" s="1"/>
  <c r="F51" i="4"/>
  <c r="F101" i="4"/>
  <c r="W34" i="15"/>
  <c r="B33" i="15"/>
  <c r="C118" i="16"/>
  <c r="S26" i="15" s="1"/>
  <c r="C66" i="16"/>
  <c r="F65" i="4"/>
  <c r="W19" i="15"/>
  <c r="C2" i="16"/>
  <c r="F58" i="4"/>
  <c r="S28" i="15"/>
  <c r="F46" i="4"/>
  <c r="S29" i="15"/>
  <c r="F20" i="4"/>
  <c r="C150" i="16"/>
  <c r="B34" i="15"/>
  <c r="F91" i="4"/>
  <c r="C139" i="16"/>
  <c r="C88" i="16"/>
  <c r="W53" i="15" s="1"/>
  <c r="C72" i="16"/>
  <c r="F54" i="4"/>
  <c r="F120" i="4"/>
  <c r="C50" i="16"/>
  <c r="F48" i="4"/>
  <c r="F147" i="4"/>
  <c r="F49" i="4"/>
  <c r="F112" i="4"/>
  <c r="F145" i="4"/>
  <c r="C41" i="16"/>
  <c r="W50" i="15"/>
  <c r="AN38" i="15"/>
  <c r="F139" i="4"/>
  <c r="C161" i="16"/>
  <c r="F45" i="4"/>
  <c r="C14" i="16"/>
  <c r="C3" i="16"/>
  <c r="F88" i="4"/>
  <c r="W41" i="15"/>
  <c r="B20" i="15"/>
  <c r="C49" i="16"/>
  <c r="F42" i="4"/>
  <c r="C4" i="16"/>
  <c r="F83" i="4"/>
  <c r="F106" i="4"/>
  <c r="C108" i="16"/>
  <c r="C129" i="16"/>
  <c r="W15" i="15"/>
  <c r="C167" i="16"/>
  <c r="F99" i="4"/>
  <c r="C6" i="16"/>
  <c r="C83" i="16"/>
  <c r="F136" i="4"/>
  <c r="F18" i="4"/>
  <c r="F41" i="4"/>
  <c r="C159" i="16"/>
  <c r="C58" i="16"/>
  <c r="F130" i="4"/>
  <c r="F21" i="4"/>
  <c r="F22" i="4"/>
  <c r="C131" i="16"/>
  <c r="C176" i="16"/>
  <c r="C19" i="16"/>
  <c r="F135" i="4"/>
  <c r="F27" i="4"/>
  <c r="C143" i="16"/>
  <c r="B36" i="15"/>
  <c r="S46" i="15"/>
  <c r="S34" i="15"/>
  <c r="B12" i="15"/>
  <c r="S15" i="15"/>
  <c r="AN52" i="15"/>
  <c r="F138" i="4"/>
  <c r="C78" i="16"/>
  <c r="C94" i="16"/>
  <c r="S32" i="15"/>
  <c r="S44" i="15"/>
  <c r="S41" i="15"/>
  <c r="C63" i="16"/>
  <c r="F146" i="4"/>
  <c r="C128" i="16"/>
  <c r="C173" i="16"/>
  <c r="F14" i="4"/>
  <c r="C59" i="16"/>
  <c r="W24" i="15" s="1"/>
  <c r="F33" i="4"/>
  <c r="F28" i="4"/>
  <c r="F96" i="4"/>
  <c r="C164" i="16"/>
  <c r="AN24" i="15" s="1"/>
  <c r="C107" i="16"/>
  <c r="C9" i="16"/>
  <c r="B18" i="15" s="1"/>
  <c r="F64" i="4"/>
  <c r="C16" i="16"/>
  <c r="F95" i="4"/>
  <c r="C81" i="16"/>
  <c r="F90" i="4"/>
  <c r="C157" i="16"/>
  <c r="F26" i="4"/>
  <c r="W31" i="15"/>
  <c r="F29" i="4"/>
  <c r="F76" i="4"/>
  <c r="C73" i="16"/>
  <c r="W38" i="15" s="1"/>
  <c r="F59" i="4"/>
  <c r="B11" i="15"/>
  <c r="F87" i="4"/>
  <c r="F11" i="4"/>
  <c r="C175" i="16"/>
  <c r="F50" i="4"/>
  <c r="F35" i="4"/>
  <c r="C39" i="16"/>
  <c r="C8" i="16"/>
  <c r="C163" i="16"/>
  <c r="C109" i="16"/>
  <c r="S35" i="15" s="1"/>
  <c r="C174" i="16"/>
  <c r="AN14" i="15" s="1"/>
  <c r="C71" i="16"/>
  <c r="F70" i="4"/>
  <c r="F110" i="4"/>
  <c r="C149" i="16"/>
  <c r="AN39" i="15" s="1"/>
  <c r="F89" i="4"/>
  <c r="F108" i="4"/>
  <c r="F23" i="4"/>
  <c r="S22" i="15"/>
  <c r="S53" i="15"/>
  <c r="C172" i="16"/>
  <c r="AN15" i="15"/>
  <c r="S21" i="15"/>
  <c r="C132" i="16"/>
  <c r="F79" i="4"/>
  <c r="C61" i="16"/>
  <c r="C144" i="16"/>
  <c r="AN44" i="15" s="1"/>
  <c r="F19" i="4"/>
  <c r="F109" i="4"/>
  <c r="C134" i="16"/>
  <c r="S42" i="15"/>
  <c r="C74" i="16"/>
  <c r="AN34" i="15"/>
  <c r="AN19" i="15"/>
  <c r="C82" i="16"/>
  <c r="W47" i="15" s="1"/>
  <c r="C96" i="16"/>
  <c r="S40" i="15"/>
  <c r="S43" i="15"/>
  <c r="F148" i="4"/>
  <c r="F74" i="4"/>
  <c r="B54" i="15"/>
  <c r="AN25" i="15"/>
  <c r="F93" i="4"/>
  <c r="W20" i="15"/>
  <c r="C152" i="16"/>
  <c r="C147" i="16"/>
  <c r="F72" i="4"/>
  <c r="F140" i="4"/>
  <c r="S50" i="15"/>
  <c r="C77" i="16"/>
  <c r="C146" i="16"/>
  <c r="F113" i="4"/>
  <c r="F34" i="4"/>
  <c r="C93" i="16"/>
  <c r="C151" i="16"/>
  <c r="C20" i="16"/>
  <c r="C68" i="16"/>
  <c r="C34" i="16"/>
  <c r="F84" i="4"/>
  <c r="C65" i="16"/>
  <c r="F36" i="4"/>
  <c r="F107" i="4"/>
  <c r="C90" i="16"/>
  <c r="B48" i="15"/>
  <c r="C95" i="16"/>
  <c r="F86" i="4"/>
  <c r="C35" i="16"/>
  <c r="C29" i="16"/>
  <c r="C51" i="16"/>
  <c r="C47" i="16"/>
  <c r="C37" i="16"/>
  <c r="S31" i="15"/>
  <c r="F63" i="4"/>
  <c r="F111" i="4"/>
  <c r="C127" i="16"/>
  <c r="B49" i="15"/>
  <c r="B32" i="15"/>
  <c r="C12" i="16"/>
  <c r="AN41" i="15"/>
  <c r="AN36" i="15"/>
  <c r="B21" i="15"/>
  <c r="C177" i="16"/>
  <c r="S24" i="15"/>
  <c r="AN37" i="15"/>
  <c r="F80" i="4"/>
  <c r="S25" i="15"/>
  <c r="C87" i="16"/>
  <c r="W52" i="15" s="1"/>
  <c r="F128" i="4"/>
  <c r="C64" i="16"/>
  <c r="W29" i="15" s="1"/>
  <c r="C80" i="16"/>
  <c r="W45" i="15" s="1"/>
  <c r="W43" i="15"/>
  <c r="F66" i="4"/>
  <c r="F102" i="4"/>
  <c r="C145" i="16"/>
  <c r="F40" i="4"/>
  <c r="C160" i="16"/>
  <c r="S16" i="15"/>
  <c r="C7" i="16"/>
  <c r="B16" i="15" s="1"/>
  <c r="F15" i="4"/>
  <c r="F53" i="4"/>
  <c r="F69" i="4"/>
  <c r="C30" i="16"/>
  <c r="B39" i="15" s="1"/>
  <c r="C75" i="16"/>
  <c r="C130" i="16"/>
  <c r="F71" i="4"/>
  <c r="C60" i="16"/>
  <c r="C125" i="16"/>
  <c r="C158" i="16"/>
  <c r="AN30" i="15" s="1"/>
  <c r="AN35" i="15"/>
  <c r="S52" i="15"/>
  <c r="AN11" i="15"/>
  <c r="B50" i="15"/>
  <c r="W12" i="15"/>
  <c r="S18" i="15"/>
  <c r="S36" i="15"/>
  <c r="B19" i="15"/>
  <c r="W36" i="15"/>
  <c r="W28" i="15"/>
  <c r="AN28" i="15"/>
  <c r="AN27" i="15"/>
  <c r="C111" i="16"/>
  <c r="S33" i="15" s="1"/>
  <c r="B52" i="15"/>
  <c r="B41" i="15"/>
  <c r="B23" i="15"/>
  <c r="W21" i="15"/>
  <c r="C31" i="16"/>
  <c r="B40" i="15" s="1"/>
  <c r="C17" i="16"/>
  <c r="F25" i="4"/>
  <c r="F103" i="4"/>
  <c r="F30" i="4"/>
  <c r="F124" i="4"/>
  <c r="C162" i="16"/>
  <c r="B17" i="15"/>
  <c r="C42" i="16"/>
  <c r="W17" i="15"/>
  <c r="F60" i="4"/>
  <c r="C48" i="16"/>
  <c r="W13" i="15" s="1"/>
  <c r="F13" i="4"/>
  <c r="C133" i="16"/>
  <c r="F141" i="4"/>
  <c r="B27" i="15"/>
  <c r="S11" i="15"/>
  <c r="W48" i="15"/>
  <c r="C106" i="16"/>
  <c r="C79" i="16"/>
  <c r="W44" i="15" s="1"/>
  <c r="C5" i="16"/>
  <c r="B14" i="15" s="1"/>
  <c r="W11" i="15"/>
  <c r="C44" i="16"/>
  <c r="C117" i="16"/>
  <c r="S27" i="15" s="1"/>
  <c r="W27" i="15"/>
  <c r="AN49" i="15"/>
  <c r="C57" i="16"/>
  <c r="W22" i="15" s="1"/>
  <c r="F75" i="4"/>
  <c r="AN18" i="15"/>
  <c r="C166" i="16"/>
  <c r="F17" i="4"/>
  <c r="AN20" i="15"/>
  <c r="C36" i="16"/>
  <c r="W42" i="15"/>
  <c r="S54" i="15"/>
  <c r="C33" i="16"/>
  <c r="B44" i="15"/>
  <c r="W39" i="15"/>
  <c r="S37" i="15"/>
  <c r="C171" i="16"/>
  <c r="AN13" i="15"/>
  <c r="F24" i="4"/>
  <c r="C67" i="16"/>
  <c r="W32" i="15" s="1"/>
  <c r="C13" i="16"/>
  <c r="S48" i="15"/>
  <c r="B35" i="15"/>
  <c r="F32" i="4"/>
  <c r="B29" i="15"/>
  <c r="B47" i="15"/>
  <c r="W23" i="15"/>
  <c r="B22" i="15"/>
  <c r="AN22" i="15"/>
  <c r="AN26" i="15"/>
  <c r="S14" i="15"/>
  <c r="B46" i="15"/>
  <c r="W30" i="15"/>
  <c r="AN42" i="15"/>
  <c r="AN16" i="15"/>
  <c r="AN45" i="15"/>
  <c r="AN29" i="15"/>
  <c r="AN17" i="15"/>
  <c r="W16" i="15"/>
  <c r="B28" i="15"/>
  <c r="B15" i="15"/>
  <c r="AN40" i="15"/>
  <c r="B42" i="15"/>
  <c r="S38" i="15"/>
  <c r="S19" i="15"/>
  <c r="AN43" i="15"/>
  <c r="B38" i="15"/>
  <c r="W33" i="15"/>
  <c r="W26" i="15"/>
  <c r="W46" i="15"/>
  <c r="AN12" i="15"/>
  <c r="AN21" i="15"/>
  <c r="S45" i="15"/>
  <c r="AN51" i="15"/>
  <c r="W49" i="15"/>
  <c r="B31" i="15"/>
  <c r="B53" i="15"/>
  <c r="W40" i="15"/>
  <c r="AN54" i="15"/>
  <c r="W37" i="15"/>
  <c r="B45" i="15"/>
  <c r="B51" i="15"/>
  <c r="W25" i="15"/>
  <c r="S17" i="15"/>
  <c r="S49" i="15"/>
  <c r="S51" i="15"/>
  <c r="S12" i="15"/>
  <c r="B25" i="15"/>
  <c r="S13" i="15"/>
  <c r="B13" i="15"/>
  <c r="AN53" i="15"/>
  <c r="AN46" i="15"/>
  <c r="AN50" i="15"/>
  <c r="W14" i="15"/>
  <c r="AN47" i="15"/>
  <c r="B26" i="15"/>
  <c r="B43" i="15"/>
  <c r="AN31" i="15"/>
  <c r="W54" i="15"/>
</calcChain>
</file>

<file path=xl/comments1.xml><?xml version="1.0" encoding="utf-8"?>
<comments xmlns="http://schemas.openxmlformats.org/spreadsheetml/2006/main">
  <authors>
    <author>red1si</author>
  </authors>
  <commentList>
    <comment ref="B3" authorId="0">
      <text>
        <r>
          <rPr>
            <b/>
            <sz val="8"/>
            <color indexed="81"/>
            <rFont val="Tahoma"/>
            <family val="2"/>
          </rPr>
          <t>Anil:</t>
        </r>
        <r>
          <rPr>
            <sz val="8"/>
            <color indexed="81"/>
            <rFont val="Tahoma"/>
            <family val="2"/>
          </rPr>
          <t xml:space="preserve">
Mention the name of the controller used in the project. Eg. TC17xx</t>
        </r>
      </text>
    </comment>
  </commentList>
</comments>
</file>

<file path=xl/comments2.xml><?xml version="1.0" encoding="utf-8"?>
<comments xmlns="http://schemas.openxmlformats.org/spreadsheetml/2006/main">
  <authors>
    <author>xingchun.zhang</author>
    <author>Windows User</author>
  </authors>
  <commentList>
    <comment ref="D8" authorId="0">
      <text>
        <r>
          <rPr>
            <b/>
            <sz val="9"/>
            <color indexed="81"/>
            <rFont val="宋体"/>
            <family val="3"/>
            <charset val="134"/>
          </rPr>
          <t>xingchun.zhang:</t>
        </r>
        <r>
          <rPr>
            <sz val="9"/>
            <color indexed="81"/>
            <rFont val="宋体"/>
            <family val="3"/>
            <charset val="134"/>
          </rPr>
          <t xml:space="preserve">
不能有下划线
不能有空格
字母全部大写
首字母必须是英文
</t>
        </r>
      </text>
    </comment>
    <comment ref="E8" authorId="1">
      <text>
        <r>
          <rPr>
            <b/>
            <sz val="9"/>
            <color indexed="81"/>
            <rFont val="宋体"/>
            <family val="3"/>
            <charset val="134"/>
          </rPr>
          <t>Windows User:</t>
        </r>
        <r>
          <rPr>
            <sz val="9"/>
            <color indexed="81"/>
            <rFont val="宋体"/>
            <family val="3"/>
            <charset val="134"/>
          </rPr>
          <t xml:space="preserve">
key for index</t>
        </r>
      </text>
    </comment>
    <comment ref="G8" authorId="0">
      <text>
        <r>
          <rPr>
            <b/>
            <sz val="9"/>
            <color indexed="81"/>
            <rFont val="宋体"/>
            <family val="3"/>
            <charset val="134"/>
          </rPr>
          <t>xingchun.zhang:</t>
        </r>
        <r>
          <rPr>
            <sz val="9"/>
            <color indexed="81"/>
            <rFont val="宋体"/>
            <family val="3"/>
            <charset val="134"/>
          </rPr>
          <t xml:space="preserve">
PIN脚位置是否可以适当调整</t>
        </r>
      </text>
    </comment>
    <comment ref="I8" authorId="0">
      <text>
        <r>
          <rPr>
            <b/>
            <sz val="9"/>
            <color indexed="81"/>
            <rFont val="宋体"/>
            <family val="3"/>
            <charset val="134"/>
          </rPr>
          <t>xingchun.zhang:
Direction</t>
        </r>
        <r>
          <rPr>
            <sz val="9"/>
            <color indexed="81"/>
            <rFont val="宋体"/>
            <family val="3"/>
            <charset val="134"/>
          </rPr>
          <t xml:space="preserve">
A: Analog
I: Input
O: Output</t>
        </r>
      </text>
    </comment>
    <comment ref="K8" authorId="0">
      <text>
        <r>
          <rPr>
            <b/>
            <sz val="9"/>
            <color indexed="81"/>
            <rFont val="宋体"/>
            <family val="3"/>
            <charset val="134"/>
          </rPr>
          <t>xingchun.zhang:</t>
        </r>
        <r>
          <rPr>
            <sz val="9"/>
            <color indexed="81"/>
            <rFont val="宋体"/>
            <family val="3"/>
            <charset val="134"/>
          </rPr>
          <t xml:space="preserve">
Pull Down
Pull Up
tri_state</t>
        </r>
      </text>
    </comment>
    <comment ref="L8" authorId="0">
      <text>
        <r>
          <rPr>
            <b/>
            <sz val="9"/>
            <color indexed="81"/>
            <rFont val="宋体"/>
            <family val="3"/>
            <charset val="134"/>
          </rPr>
          <t>xingchun.zhang:</t>
        </r>
        <r>
          <rPr>
            <sz val="9"/>
            <color indexed="81"/>
            <rFont val="宋体"/>
            <family val="3"/>
            <charset val="134"/>
          </rPr>
          <t xml:space="preserve">
RC时间常数</t>
        </r>
      </text>
    </comment>
    <comment ref="N8" authorId="1">
      <text>
        <r>
          <rPr>
            <b/>
            <sz val="9"/>
            <color indexed="81"/>
            <rFont val="宋体"/>
            <family val="3"/>
            <charset val="134"/>
          </rPr>
          <t>Windows User:</t>
        </r>
        <r>
          <rPr>
            <sz val="9"/>
            <color indexed="81"/>
            <rFont val="宋体"/>
            <family val="3"/>
            <charset val="134"/>
          </rPr>
          <t xml:space="preserve">
Only Accept rows are included in m file</t>
        </r>
      </text>
    </comment>
    <comment ref="F10" authorId="1">
      <text>
        <r>
          <rPr>
            <b/>
            <sz val="9"/>
            <color indexed="81"/>
            <rFont val="宋体"/>
            <family val="3"/>
            <charset val="134"/>
          </rPr>
          <t>Windows User:</t>
        </r>
        <r>
          <rPr>
            <sz val="9"/>
            <color indexed="81"/>
            <rFont val="宋体"/>
            <family val="3"/>
            <charset val="134"/>
          </rPr>
          <t xml:space="preserve">
ANxx</t>
        </r>
      </text>
    </comment>
    <comment ref="F12" authorId="1">
      <text>
        <r>
          <rPr>
            <b/>
            <sz val="9"/>
            <color indexed="81"/>
            <rFont val="宋体"/>
            <family val="3"/>
            <charset val="134"/>
          </rPr>
          <t>Windows User:</t>
        </r>
        <r>
          <rPr>
            <sz val="9"/>
            <color indexed="81"/>
            <rFont val="宋体"/>
            <family val="3"/>
            <charset val="134"/>
          </rPr>
          <t xml:space="preserve">
P00.12</t>
        </r>
      </text>
    </comment>
    <comment ref="F13" authorId="0">
      <text>
        <r>
          <rPr>
            <b/>
            <sz val="9"/>
            <color indexed="81"/>
            <rFont val="宋体"/>
            <family val="3"/>
            <charset val="134"/>
          </rPr>
          <t>xingchun.zhang:</t>
        </r>
        <r>
          <rPr>
            <sz val="9"/>
            <color indexed="81"/>
            <rFont val="宋体"/>
            <family val="3"/>
            <charset val="134"/>
          </rPr>
          <t xml:space="preserve">
P00.11</t>
        </r>
      </text>
    </comment>
    <comment ref="C95" authorId="0">
      <text>
        <r>
          <rPr>
            <b/>
            <sz val="9"/>
            <color indexed="81"/>
            <rFont val="宋体"/>
            <family val="3"/>
            <charset val="134"/>
          </rPr>
          <t>xingchun.zhang:</t>
        </r>
        <r>
          <rPr>
            <sz val="9"/>
            <color indexed="81"/>
            <rFont val="宋体"/>
            <family val="3"/>
            <charset val="134"/>
          </rPr>
          <t xml:space="preserve">
软件要更新</t>
        </r>
      </text>
    </comment>
    <comment ref="C96" authorId="0">
      <text>
        <r>
          <rPr>
            <b/>
            <sz val="9"/>
            <color indexed="81"/>
            <rFont val="宋体"/>
            <family val="3"/>
            <charset val="134"/>
          </rPr>
          <t>xingchun.zhang:</t>
        </r>
        <r>
          <rPr>
            <sz val="9"/>
            <color indexed="81"/>
            <rFont val="宋体"/>
            <family val="3"/>
            <charset val="134"/>
          </rPr>
          <t xml:space="preserve">
软件要更新</t>
        </r>
      </text>
    </comment>
  </commentList>
</comments>
</file>

<file path=xl/comments3.xml><?xml version="1.0" encoding="utf-8"?>
<comments xmlns="http://schemas.openxmlformats.org/spreadsheetml/2006/main">
  <authors>
    <author>Liuyh</author>
  </authors>
  <commentList>
    <comment ref="B23" authorId="0">
      <text>
        <r>
          <rPr>
            <b/>
            <sz val="9"/>
            <color indexed="81"/>
            <rFont val="Tahoma"/>
            <family val="2"/>
          </rPr>
          <t>Liuyh:</t>
        </r>
        <r>
          <rPr>
            <sz val="9"/>
            <color indexed="81"/>
            <rFont val="Tahoma"/>
            <family val="2"/>
          </rPr>
          <t xml:space="preserve">
P00.11</t>
        </r>
      </text>
    </comment>
    <comment ref="B24" authorId="0">
      <text>
        <r>
          <rPr>
            <b/>
            <sz val="9"/>
            <color indexed="81"/>
            <rFont val="Tahoma"/>
            <family val="2"/>
          </rPr>
          <t>Liuyh:</t>
        </r>
        <r>
          <rPr>
            <sz val="9"/>
            <color indexed="81"/>
            <rFont val="Tahoma"/>
            <family val="2"/>
          </rPr>
          <t xml:space="preserve">
P00.12</t>
        </r>
      </text>
    </comment>
  </commentList>
</comments>
</file>

<file path=xl/sharedStrings.xml><?xml version="1.0" encoding="utf-8"?>
<sst xmlns="http://schemas.openxmlformats.org/spreadsheetml/2006/main" count="1580" uniqueCount="815">
  <si>
    <t>Date</t>
  </si>
  <si>
    <t>Name</t>
  </si>
  <si>
    <t>Comment</t>
  </si>
  <si>
    <t>File-Information</t>
  </si>
  <si>
    <t>Processor Type</t>
  </si>
  <si>
    <t>Template Version</t>
  </si>
  <si>
    <t>Project-Name</t>
  </si>
  <si>
    <t>Customer</t>
  </si>
  <si>
    <t>EA-Number</t>
  </si>
  <si>
    <t>This file represents the interface between hard- and software for a certain project.</t>
  </si>
  <si>
    <t>Please enter all data completely and carefully.</t>
  </si>
  <si>
    <t>Anything not requested won't appear in the port assignment!</t>
  </si>
  <si>
    <t>List Of Changes</t>
  </si>
  <si>
    <t>Item No.</t>
  </si>
  <si>
    <t>P15.8</t>
  </si>
  <si>
    <t>P14.2</t>
  </si>
  <si>
    <t>P14.4</t>
  </si>
  <si>
    <t>P14.5</t>
  </si>
  <si>
    <t>P10.5</t>
  </si>
  <si>
    <t>P10.6</t>
  </si>
  <si>
    <t>AN0</t>
  </si>
  <si>
    <t>AN1</t>
  </si>
  <si>
    <t>Author:</t>
  </si>
  <si>
    <t>Dept:</t>
  </si>
  <si>
    <t>Date:</t>
  </si>
  <si>
    <t>General</t>
  </si>
  <si>
    <t>Analog Inputs</t>
  </si>
  <si>
    <t>A</t>
  </si>
  <si>
    <t>O</t>
  </si>
  <si>
    <t>I</t>
  </si>
  <si>
    <t>08/28/2012</t>
  </si>
  <si>
    <t>Trempert</t>
  </si>
  <si>
    <t>Abgeleitet von Version: Ports_Inverter_Gen3_Device3_ELMAR_Plattform_Prototyp.xls
Mit Item No.12</t>
  </si>
  <si>
    <t>Prathap Singh (RBEI/EEH2)</t>
  </si>
  <si>
    <t>First draft of assignment created.</t>
  </si>
  <si>
    <t>Info Mark Damson: changed P21.0, P21.1,P21.3,P21.4 from TOM to ATOM and P21.3 from ATOM to TOM</t>
  </si>
  <si>
    <t>Eiben</t>
  </si>
  <si>
    <t>Prathap Singh (RBEI/EEH2)
Trempert Chris (GS-EH/EPC3)</t>
  </si>
  <si>
    <t>Signal name changes:
 - CTO_EN2_B1 (P10_1) --&gt; CTO_EN3_B1 (P10_1);
 - CTO_STB2_B2 (P10_2) --&gt; CTO_STB3_B2 (P10_2);
 - CTO_ERR2_B2_MON (P33_1) --&gt; CTO_ERR3_B2_MON (P33_1) ;
 - CTO_WAKE2_B1_MON (P33_0) --&gt; CTO_WAKE3_B1_MON (P33_0)
 - CTO_EN1 (P2_4) --&gt; CTO_EN2 (P2_4)
 - CTO_STB1 (P2_5) --&gt; CTO_STB2 (P2_5)
 - CTO_ERR1_B0 (P10_7) --&gt; CTO_ERR2_B0 (P10_7)
 - CTO_WAKE1 (P2_6) --&gt; CTO_WAKE2 (P2_6)</t>
  </si>
  <si>
    <t>Navin Kumar (RBEI/EEH2)</t>
  </si>
  <si>
    <t xml:space="preserve"> - Updated driver strength </t>
  </si>
  <si>
    <t>Trempert Chris (GS-EH/EPC3)
Navin Kumar (RBEI/EEH2)</t>
  </si>
  <si>
    <t xml:space="preserve"> - Changed the driver strength as per mail dated 01/10/2013 from Mr.Trempert Chris</t>
  </si>
  <si>
    <t>Eiben, Frank</t>
  </si>
  <si>
    <t xml:space="preserve"> - changed CLK_CPLD_DO from EXTCLK0 to GTMCLK0</t>
  </si>
  <si>
    <t>Trempert Chris (GS-EH/EPE1) 
Gurumahantesh (RBEI/EEH2)</t>
  </si>
  <si>
    <r>
      <t xml:space="preserve">Initial version of assignment created based on </t>
    </r>
    <r>
      <rPr>
        <b/>
        <sz val="10"/>
        <rFont val="Arial"/>
        <family val="2"/>
      </rPr>
      <t>:</t>
    </r>
    <r>
      <rPr>
        <sz val="10"/>
        <rFont val="Arial"/>
        <family val="2"/>
      </rPr>
      <t xml:space="preserve"> Ports_Inverter_Gen3_Device3_ELMAR35_INVCON3.3_VW_Audi
as per mail from Mr.Trempert dated - 13-03-2013.</t>
    </r>
  </si>
  <si>
    <t xml:space="preserve"> - HBHP1_DO --&gt; inclusion of ATOM0_0 under "GTM-int" column
 - RXD_NVuC_TXD_HVuC --&gt; inclusion of TIM3_0 as it is needed to capture the timestamp along with the regular UART functionality
 - ADC_Trigger_DO --&gt; inclusion of ATOM1_1 and ATOM1_0</t>
  </si>
  <si>
    <t>Trempert Chris (GS-EH/EPE1) 
Navin Kumar (RBEI/EEH2)</t>
  </si>
  <si>
    <t xml:space="preserve"> - Driver strengths are updated for some of the signals</t>
  </si>
  <si>
    <t xml:space="preserve"> - ADC namings updated in the template</t>
  </si>
  <si>
    <r>
      <rPr>
        <b/>
        <u/>
        <sz val="10"/>
        <rFont val="Arial"/>
        <family val="2"/>
      </rPr>
      <t>Creation of C-Sample with reference to B-Sample assignment:</t>
    </r>
    <r>
      <rPr>
        <sz val="10"/>
        <rFont val="Arial"/>
        <family val="2"/>
      </rPr>
      <t xml:space="preserve">
 - RES_DI_AIN – added “I” to indicate it is a GPIO Input signal
 - NERROR_Pin – TIM0_4 not needed and removed
 - TRQ_EN_DI – TIM0_5 not needed as it is GPIO input
 - EMTMP_CTRL_DO – pin config changed from “U-T” to “WEAK”
 - B1/2/3_DI - pin config changed from “U-T” to “F-T”</t>
    </r>
  </si>
  <si>
    <t xml:space="preserve"> - RES_DI_AIN - signal deleted
 - NWDA - signal deleted
 - CPLD_RES2_DI, CPLD_RES3_DI, CPLD_RES4_DI - signals deleted
 - RSV_NENEXTHI_DO - new signal assinged at P32.2
 - RSV_NENEXTLO_DO - new signal assigned at P32.3
 - VOGT_DIAG_DO - new signal assigned at P13.0
 - VOGT_DIAG_AIN - new signal assigned at AN35
 - CTO_NSTB - new signal assigned at P02.6
 - RSV_COSLO_AIN - pin config chanegd from U - T to F – T
 - RSV_EXTLO_DO - pin config changed from WEAK to MED</t>
  </si>
  <si>
    <t>Kirschner Manfred (GS-EH/EPE1)
Prathap Singh (RBEI/EEH2)</t>
  </si>
  <si>
    <t>Prathap Singh (RBEI/EEH2)
Kirschner Manfred (GS-EH/EPE1)</t>
  </si>
  <si>
    <t xml:space="preserve"> - New signals vWhiRe and vWhiLe added at P02.4 and P02.5 respectively
 - Input timestamps (TIM2_1 and TIM1_0) added for DS-ADC signals (for IPx and RSV signals)</t>
  </si>
  <si>
    <t xml:space="preserve"> - KL30_28V_AIN signal deleted
 - ENHSS_DO renamed as ENBOOST_DO</t>
  </si>
  <si>
    <t>Few corrections in the list:
 - CTO_NSTB - pin config changed from "WEAK" to "MED"                  
 - P00.10 is unused and hence changed to U – T</t>
  </si>
  <si>
    <t xml:space="preserve"> - SLSO02_CY327 (P20.13) moved to SLSO06_CY327 (P20.10)
 - FLR_EN (P15.7) moved to SLSO02_FLR_EN (P20.13)
 - CPLD_RES1_DI (P20.10) moved to CPLD_RES1_DI (P15.7)
 - Unavailable SAR ADC channels mentioned in the ADC section in gray color.</t>
  </si>
  <si>
    <t xml:space="preserve"> - Signals at AN47 and AN18 exchanged.
 - RSV_NENEXTHI_DO and RSV_NENEXTLO_DO shifted from Pins 86/87 to Pins 91/92</t>
  </si>
  <si>
    <t>Kirschner Manfred (GS-EH/EPE1)
Abhishek S R(RBEI/EEH2)</t>
  </si>
  <si>
    <t xml:space="preserve">  - new signal DCW_BOOST_DO is assigned to P22.1 ( OUTPUT ONLY)
  - HVIL3_AIN, HVILin_AIN, HVILout_AIN signals are removed
  - RSV_NENEXTHI_DO -&gt; RSV_ENEXTHI_DO
  - RSV_NENXTLO_DO -&gt; RSV_ENEXTLO_DO
  - for signal IPHREFP3_N_DO, TOM channel is changed from TOM0_7 to TOM1_7</t>
  </si>
  <si>
    <t xml:space="preserve"> changes are as per mail dated Di 22.10.2013 12:52
 - RSTGTRL_DO and RSTGTRH_DO renamed in CPLD_RES2_DI and CPLD_RES3_DI, pin 
   config for all CPLD_RESx changed to "U-T"
 - SLSO06_CY327 (P20.10) moved to SLSO02_CY327 (P20.13)  
 - SLSO02_FLR_EN (P20.13) moved to SLSO06_FLR_EN (P20.10)
 - KL31_SENSE_AIN, VDD5G3_AIN deleted
 - vWhiRe renamed to vWhlRi_DI
 - vWhiLe renamed to vWhlLe_DI
 - NERROR Pin renamed to NERROR
 - SD_VDD3V3_DCW_DO pin config changed from "WEAK" to "MED"
 - Pin config B0_DI,  B1_DI, B2_DI is "U-T" because not used in series ECU</t>
  </si>
  <si>
    <t>PWM Outputs/Inputs</t>
  </si>
  <si>
    <t>功能描述</t>
  </si>
  <si>
    <t>TBD</t>
  </si>
  <si>
    <t>10-RST</t>
  </si>
  <si>
    <t>P14.1</t>
  </si>
  <si>
    <t>P14.0</t>
  </si>
  <si>
    <t>TIM0_5</t>
  </si>
  <si>
    <t>TIM2_5</t>
  </si>
  <si>
    <t>TIM2_6</t>
  </si>
  <si>
    <t>TIM2_7</t>
  </si>
  <si>
    <t>P15.1</t>
  </si>
  <si>
    <t>P15.0</t>
  </si>
  <si>
    <t>CAN2</t>
  </si>
  <si>
    <t>1-VREF</t>
    <phoneticPr fontId="23" type="noConversion"/>
  </si>
  <si>
    <t>2-DAP1</t>
    <phoneticPr fontId="23" type="noConversion"/>
  </si>
  <si>
    <t>3-GND</t>
    <phoneticPr fontId="23" type="noConversion"/>
  </si>
  <si>
    <t>4-DAP0</t>
    <phoneticPr fontId="23" type="noConversion"/>
  </si>
  <si>
    <t>Signal Name</t>
    <phoneticPr fontId="23" type="noConversion"/>
  </si>
  <si>
    <t>O</t>
    <phoneticPr fontId="23" type="noConversion"/>
  </si>
  <si>
    <t>I</t>
    <phoneticPr fontId="23" type="noConversion"/>
  </si>
  <si>
    <t>I</t>
    <phoneticPr fontId="23" type="noConversion"/>
  </si>
  <si>
    <t>O</t>
    <phoneticPr fontId="23" type="noConversion"/>
  </si>
  <si>
    <t>A</t>
    <phoneticPr fontId="23" type="noConversion"/>
  </si>
  <si>
    <t>TMS/DAP1</t>
    <phoneticPr fontId="23" type="noConversion"/>
  </si>
  <si>
    <t>TCK/DAP0</t>
    <phoneticPr fontId="23" type="noConversion"/>
  </si>
  <si>
    <t>VADC</t>
    <phoneticPr fontId="23" type="noConversion"/>
  </si>
  <si>
    <t>DSADC</t>
    <phoneticPr fontId="23" type="noConversion"/>
  </si>
  <si>
    <r>
      <t>A</t>
    </r>
    <r>
      <rPr>
        <sz val="10"/>
        <rFont val="Arial"/>
        <family val="2"/>
      </rPr>
      <t>TOM0_1</t>
    </r>
    <r>
      <rPr>
        <sz val="11"/>
        <color theme="1"/>
        <rFont val="宋体"/>
        <family val="2"/>
        <charset val="134"/>
        <scheme val="minor"/>
      </rPr>
      <t/>
    </r>
  </si>
  <si>
    <r>
      <t>A</t>
    </r>
    <r>
      <rPr>
        <sz val="10"/>
        <rFont val="Arial"/>
        <family val="2"/>
      </rPr>
      <t>TOM0_2</t>
    </r>
    <r>
      <rPr>
        <sz val="11"/>
        <color theme="1"/>
        <rFont val="宋体"/>
        <family val="2"/>
        <charset val="134"/>
        <scheme val="minor"/>
      </rPr>
      <t/>
    </r>
  </si>
  <si>
    <r>
      <t>A</t>
    </r>
    <r>
      <rPr>
        <sz val="10"/>
        <rFont val="Arial"/>
        <family val="2"/>
      </rPr>
      <t>TOM0_3</t>
    </r>
    <r>
      <rPr>
        <sz val="11"/>
        <color theme="1"/>
        <rFont val="宋体"/>
        <family val="2"/>
        <charset val="134"/>
        <scheme val="minor"/>
      </rPr>
      <t/>
    </r>
  </si>
  <si>
    <r>
      <t>A</t>
    </r>
    <r>
      <rPr>
        <sz val="10"/>
        <rFont val="Arial"/>
        <family val="2"/>
      </rPr>
      <t>TOM0_4</t>
    </r>
    <r>
      <rPr>
        <sz val="11"/>
        <color theme="1"/>
        <rFont val="宋体"/>
        <family val="2"/>
        <charset val="134"/>
        <scheme val="minor"/>
      </rPr>
      <t/>
    </r>
  </si>
  <si>
    <r>
      <t>A</t>
    </r>
    <r>
      <rPr>
        <sz val="10"/>
        <rFont val="Arial"/>
        <family val="2"/>
      </rPr>
      <t>TOM0_5</t>
    </r>
    <r>
      <rPr>
        <sz val="11"/>
        <color theme="1"/>
        <rFont val="宋体"/>
        <family val="2"/>
        <charset val="134"/>
        <scheme val="minor"/>
      </rPr>
      <t/>
    </r>
  </si>
  <si>
    <r>
      <t>A</t>
    </r>
    <r>
      <rPr>
        <sz val="10"/>
        <rFont val="Arial"/>
        <family val="2"/>
      </rPr>
      <t>TOM0_6</t>
    </r>
    <r>
      <rPr>
        <sz val="11"/>
        <color theme="1"/>
        <rFont val="宋体"/>
        <family val="2"/>
        <charset val="134"/>
        <scheme val="minor"/>
      </rPr>
      <t/>
    </r>
  </si>
  <si>
    <t>ATOM1_1</t>
    <phoneticPr fontId="23" type="noConversion"/>
  </si>
  <si>
    <t>TIM2_0</t>
    <phoneticPr fontId="23" type="noConversion"/>
  </si>
  <si>
    <t>QSPI3</t>
    <phoneticPr fontId="23" type="noConversion"/>
  </si>
  <si>
    <t>CAN1</t>
    <phoneticPr fontId="23" type="noConversion"/>
  </si>
  <si>
    <t>CAN2</t>
    <phoneticPr fontId="23" type="noConversion"/>
  </si>
  <si>
    <t>I</t>
    <phoneticPr fontId="23" type="noConversion"/>
  </si>
  <si>
    <t>A</t>
    <phoneticPr fontId="23" type="noConversion"/>
  </si>
  <si>
    <t>ASIL</t>
    <phoneticPr fontId="23" type="noConversion"/>
  </si>
  <si>
    <t>C</t>
    <phoneticPr fontId="23" type="noConversion"/>
  </si>
  <si>
    <t>O</t>
    <phoneticPr fontId="23" type="noConversion"/>
  </si>
  <si>
    <t>ADCTEST_AI</t>
    <phoneticPr fontId="23" type="noConversion"/>
  </si>
  <si>
    <t>A</t>
    <phoneticPr fontId="23" type="noConversion"/>
  </si>
  <si>
    <t>上电复位信号</t>
    <phoneticPr fontId="23" type="noConversion"/>
  </si>
  <si>
    <t>A</t>
    <phoneticPr fontId="23" type="noConversion"/>
  </si>
  <si>
    <t>QSPI0</t>
    <phoneticPr fontId="23" type="noConversion"/>
  </si>
  <si>
    <t>I</t>
    <phoneticPr fontId="23" type="noConversion"/>
  </si>
  <si>
    <t>SPI3_MRST</t>
    <phoneticPr fontId="23" type="noConversion"/>
  </si>
  <si>
    <t>SPI3_MTSR</t>
    <phoneticPr fontId="23" type="noConversion"/>
  </si>
  <si>
    <t>O</t>
    <phoneticPr fontId="23" type="noConversion"/>
  </si>
  <si>
    <t>GPIO</t>
    <phoneticPr fontId="23" type="noConversion"/>
  </si>
  <si>
    <t>碰撞信号输入</t>
    <phoneticPr fontId="23" type="noConversion"/>
  </si>
  <si>
    <t>Filter</t>
    <phoneticPr fontId="23" type="noConversion"/>
  </si>
  <si>
    <t>&lt;1ms</t>
    <phoneticPr fontId="23" type="noConversion"/>
  </si>
  <si>
    <t>&lt;10us</t>
    <phoneticPr fontId="23" type="noConversion"/>
  </si>
  <si>
    <t>&lt;5ms</t>
    <phoneticPr fontId="23" type="noConversion"/>
  </si>
  <si>
    <t>0us</t>
    <phoneticPr fontId="23" type="noConversion"/>
  </si>
  <si>
    <t>&lt;100ns</t>
    <phoneticPr fontId="23" type="noConversion"/>
  </si>
  <si>
    <t>NMI</t>
    <phoneticPr fontId="23" type="noConversion"/>
  </si>
  <si>
    <t>I</t>
    <phoneticPr fontId="23" type="noConversion"/>
  </si>
  <si>
    <t>A</t>
    <phoneticPr fontId="23" type="noConversion"/>
  </si>
  <si>
    <t>&lt;100ns</t>
    <phoneticPr fontId="23" type="noConversion"/>
  </si>
  <si>
    <t>NERROR</t>
    <phoneticPr fontId="23" type="noConversion"/>
  </si>
  <si>
    <t>PORST</t>
    <phoneticPr fontId="23" type="noConversion"/>
  </si>
  <si>
    <t>TBD</t>
    <phoneticPr fontId="23" type="noConversion"/>
  </si>
  <si>
    <t xml:space="preserve">Edge Input/Output </t>
    <phoneticPr fontId="23" type="noConversion"/>
  </si>
  <si>
    <t>A</t>
    <phoneticPr fontId="23" type="noConversion"/>
  </si>
  <si>
    <t>C</t>
    <phoneticPr fontId="23" type="noConversion"/>
  </si>
  <si>
    <t>&lt;100ns</t>
    <phoneticPr fontId="23" type="noConversion"/>
  </si>
  <si>
    <t>SPI Signals</t>
    <phoneticPr fontId="23" type="noConversion"/>
  </si>
  <si>
    <t>CAN Signals</t>
    <phoneticPr fontId="23" type="noConversion"/>
  </si>
  <si>
    <t>Infineon DAP 10 Pin</t>
    <phoneticPr fontId="23" type="noConversion"/>
  </si>
  <si>
    <t>GPIO</t>
    <phoneticPr fontId="23" type="noConversion"/>
  </si>
  <si>
    <t>&lt;1ms</t>
    <phoneticPr fontId="23" type="noConversion"/>
  </si>
  <si>
    <t>I</t>
    <phoneticPr fontId="23" type="noConversion"/>
  </si>
  <si>
    <t>&lt;100ns</t>
    <phoneticPr fontId="23" type="noConversion"/>
  </si>
  <si>
    <t>A</t>
    <phoneticPr fontId="23" type="noConversion"/>
  </si>
  <si>
    <t>A</t>
    <phoneticPr fontId="23" type="noConversion"/>
  </si>
  <si>
    <t>&lt;1ms</t>
    <phoneticPr fontId="23" type="noConversion"/>
  </si>
  <si>
    <t>Temperature Motor1电机定子温度匹配电阻选择</t>
    <phoneticPr fontId="23" type="noConversion"/>
  </si>
  <si>
    <t>5-GND</t>
    <phoneticPr fontId="23" type="noConversion"/>
  </si>
  <si>
    <t>6-DAP2</t>
    <phoneticPr fontId="23" type="noConversion"/>
  </si>
  <si>
    <t>7-KEY/GND</t>
    <phoneticPr fontId="23" type="noConversion"/>
  </si>
  <si>
    <t>8-DAP3</t>
    <phoneticPr fontId="23" type="noConversion"/>
  </si>
  <si>
    <t>9-GND</t>
    <phoneticPr fontId="23" type="noConversion"/>
  </si>
  <si>
    <t>DAP2</t>
    <phoneticPr fontId="23" type="noConversion"/>
  </si>
  <si>
    <t>NRSTC</t>
    <phoneticPr fontId="23" type="noConversion"/>
  </si>
  <si>
    <t>可能不接</t>
    <phoneticPr fontId="23" type="noConversion"/>
  </si>
  <si>
    <t>I</t>
    <phoneticPr fontId="23" type="noConversion"/>
  </si>
  <si>
    <t>HW Name Netlist</t>
    <phoneticPr fontId="23" type="noConversion"/>
  </si>
  <si>
    <t>HWCFG0</t>
    <phoneticPr fontId="23" type="noConversion"/>
  </si>
  <si>
    <t>HWCFG1</t>
  </si>
  <si>
    <t>HWCFG4</t>
  </si>
  <si>
    <t>HWCFG5</t>
  </si>
  <si>
    <t>HWCFG6</t>
  </si>
  <si>
    <t>HWCFG</t>
    <phoneticPr fontId="23" type="noConversion"/>
  </si>
  <si>
    <t>HWCFG2</t>
    <phoneticPr fontId="23" type="noConversion"/>
  </si>
  <si>
    <t>HWCFG</t>
    <phoneticPr fontId="23" type="noConversion"/>
  </si>
  <si>
    <t>Accept</t>
    <phoneticPr fontId="23" type="noConversion"/>
  </si>
  <si>
    <t>Comment</t>
    <phoneticPr fontId="23" type="noConversion"/>
  </si>
  <si>
    <t>Reject</t>
  </si>
  <si>
    <t>Pin Num</t>
    <phoneticPr fontId="23" type="noConversion"/>
  </si>
  <si>
    <t>uC Fun</t>
    <phoneticPr fontId="23" type="noConversion"/>
  </si>
  <si>
    <t>Dir</t>
    <phoneticPr fontId="23" type="noConversion"/>
  </si>
  <si>
    <t>ATOM0_0</t>
    <phoneticPr fontId="23" type="noConversion"/>
  </si>
  <si>
    <t>SW Confirm</t>
    <phoneticPr fontId="23" type="noConversion"/>
  </si>
  <si>
    <t>HW Confirm</t>
    <phoneticPr fontId="23" type="noConversion"/>
  </si>
  <si>
    <t>不可变更</t>
    <phoneticPr fontId="23" type="noConversion"/>
  </si>
  <si>
    <t>HWCFG0_P14_6</t>
    <phoneticPr fontId="23" type="noConversion"/>
  </si>
  <si>
    <t>HWCFG1_P14_5</t>
    <phoneticPr fontId="23" type="noConversion"/>
  </si>
  <si>
    <t>HWCFG2_P14_2</t>
    <phoneticPr fontId="23" type="noConversion"/>
  </si>
  <si>
    <t>HWCFG3_P14_3</t>
    <phoneticPr fontId="23" type="noConversion"/>
  </si>
  <si>
    <t>HWCFG4_P10_5</t>
    <phoneticPr fontId="23" type="noConversion"/>
  </si>
  <si>
    <t>HWCFG5_P10_6</t>
    <phoneticPr fontId="23" type="noConversion"/>
  </si>
  <si>
    <t>HWCFG6_P14_4</t>
    <phoneticPr fontId="23" type="noConversion"/>
  </si>
  <si>
    <t>I</t>
    <phoneticPr fontId="23" type="noConversion"/>
  </si>
  <si>
    <t>Digital Inputs/Outputs</t>
    <phoneticPr fontId="23" type="noConversion"/>
  </si>
  <si>
    <t>&lt;1us</t>
    <phoneticPr fontId="23" type="noConversion"/>
  </si>
  <si>
    <t>NA</t>
    <phoneticPr fontId="23" type="noConversion"/>
  </si>
  <si>
    <t>O</t>
    <phoneticPr fontId="23" type="noConversion"/>
  </si>
  <si>
    <t>A</t>
    <phoneticPr fontId="23" type="noConversion"/>
  </si>
  <si>
    <t>电机定子温度1采集</t>
    <phoneticPr fontId="23" type="noConversion"/>
  </si>
  <si>
    <t>软件预留，外接测试焊盘: ATOM0_0, TIM2_0，连接到P00.0</t>
    <phoneticPr fontId="23" type="noConversion"/>
  </si>
  <si>
    <t>软件预留,外接测试焊盘： ATOM1_1. 触发AD相电流采集</t>
    <phoneticPr fontId="23" type="noConversion"/>
  </si>
  <si>
    <t>PWM trigger输出门驱动反馈采样, TIM2_0</t>
    <phoneticPr fontId="23" type="noConversion"/>
  </si>
  <si>
    <t>驱动反馈采样,TIM2_6</t>
    <phoneticPr fontId="23" type="noConversion"/>
  </si>
  <si>
    <t>驱动反馈采样,TIM2_7</t>
    <phoneticPr fontId="23" type="noConversion"/>
  </si>
  <si>
    <t>system and application resets, SMUFSP, 接35584 ERR PIN</t>
    <phoneticPr fontId="23" type="noConversion"/>
  </si>
  <si>
    <t>刷新输入PWM</t>
    <phoneticPr fontId="23" type="noConversion"/>
  </si>
  <si>
    <t>KL15信号输入</t>
    <phoneticPr fontId="23" type="noConversion"/>
  </si>
  <si>
    <t>VCU, ACC/Wake up信号</t>
    <phoneticPr fontId="23" type="noConversion"/>
  </si>
  <si>
    <t>电机定子温度2采集</t>
    <phoneticPr fontId="23" type="noConversion"/>
  </si>
  <si>
    <t>5V监控</t>
    <phoneticPr fontId="23" type="noConversion"/>
  </si>
  <si>
    <t>GPIO</t>
    <phoneticPr fontId="23" type="noConversion"/>
  </si>
  <si>
    <t>NA</t>
    <phoneticPr fontId="23" type="noConversion"/>
  </si>
  <si>
    <t>VDD3V3</t>
    <phoneticPr fontId="23" type="noConversion"/>
  </si>
  <si>
    <t>&lt;5us</t>
    <phoneticPr fontId="23" type="noConversion"/>
  </si>
  <si>
    <t>CGPWMN</t>
    <phoneticPr fontId="23" type="noConversion"/>
  </si>
  <si>
    <t>CGPWMP</t>
    <phoneticPr fontId="23" type="noConversion"/>
  </si>
  <si>
    <t>ATOM4_2</t>
    <phoneticPr fontId="23" type="noConversion"/>
  </si>
  <si>
    <t>ATOM4_3</t>
    <phoneticPr fontId="23" type="noConversion"/>
  </si>
  <si>
    <t>Low side DFW, ATOM4_1</t>
    <phoneticPr fontId="23" type="noConversion"/>
  </si>
  <si>
    <t>Low side DFW, ATOM4_2</t>
    <phoneticPr fontId="23" type="noConversion"/>
  </si>
  <si>
    <t>High side DFW, ATOM4_3, 预留</t>
    <phoneticPr fontId="23" type="noConversion"/>
  </si>
  <si>
    <t>High side DFW, ATOM4_4, 预留</t>
    <phoneticPr fontId="23" type="noConversion"/>
  </si>
  <si>
    <t>ATOM4_6</t>
    <phoneticPr fontId="23" type="noConversion"/>
  </si>
  <si>
    <t>TIM3_4</t>
    <phoneticPr fontId="23" type="noConversion"/>
  </si>
  <si>
    <t>RSV VADC触发时刻采样，TIM3_4</t>
    <phoneticPr fontId="23" type="noConversion"/>
  </si>
  <si>
    <t>P33.1</t>
  </si>
  <si>
    <t>P33.2</t>
  </si>
  <si>
    <t>P33.3</t>
  </si>
  <si>
    <t>TIM0_4</t>
    <phoneticPr fontId="23" type="noConversion"/>
  </si>
  <si>
    <t>TIM1_6</t>
    <phoneticPr fontId="23" type="noConversion"/>
  </si>
  <si>
    <t>TIM1_7</t>
    <phoneticPr fontId="23" type="noConversion"/>
  </si>
  <si>
    <t>母线电压过压信号(干扰&gt;3us),TIM1_7，下降沿触发中断进安全状态</t>
    <phoneticPr fontId="23" type="noConversion"/>
  </si>
  <si>
    <t>相电流过流信号(干扰&gt;3us)，TIM0_5，下降沿触发中断进安全状态</t>
    <phoneticPr fontId="23" type="noConversion"/>
  </si>
  <si>
    <t>相电流过流信号(单脉冲&gt;3us)，TIM0_4，下降沿触发中断进安全状态</t>
    <phoneticPr fontId="23" type="noConversion"/>
  </si>
  <si>
    <t>母线电压过压信号(单脉冲&gt;3us),TIM1_6，下降沿触发中断进安全状态</t>
    <phoneticPr fontId="23" type="noConversion"/>
  </si>
  <si>
    <t>N</t>
    <phoneticPr fontId="23" type="noConversion"/>
  </si>
  <si>
    <t>Y</t>
    <phoneticPr fontId="23" type="noConversion"/>
  </si>
  <si>
    <t>Change</t>
    <phoneticPr fontId="23" type="noConversion"/>
  </si>
  <si>
    <t>HWCFG3</t>
    <phoneticPr fontId="23" type="noConversion"/>
  </si>
  <si>
    <t>ATOM4_6, TIM0_6, 连接到P20.3</t>
    <phoneticPr fontId="23" type="noConversion"/>
  </si>
  <si>
    <t>ATOM4_4</t>
    <phoneticPr fontId="23" type="noConversion"/>
  </si>
  <si>
    <t>ATOM4_1</t>
    <phoneticPr fontId="23" type="noConversion"/>
  </si>
  <si>
    <t>1-35584 test mode,0-Normal mode</t>
    <phoneticPr fontId="23" type="noConversion"/>
  </si>
  <si>
    <t>16V Buck/Boost enable</t>
    <phoneticPr fontId="23" type="noConversion"/>
  </si>
  <si>
    <t>硬件过流比较高设置</t>
    <phoneticPr fontId="23" type="noConversion"/>
  </si>
  <si>
    <t>TIM3_0</t>
    <phoneticPr fontId="23" type="noConversion"/>
  </si>
  <si>
    <t>Level1紧急控制模式。高：正常模式；低:ASC模式</t>
    <phoneticPr fontId="23" type="noConversion"/>
  </si>
  <si>
    <t>Level2 ASCEN信号回采</t>
    <phoneticPr fontId="23" type="noConversion"/>
  </si>
  <si>
    <t>1ED High side enable</t>
    <phoneticPr fontId="23" type="noConversion"/>
  </si>
  <si>
    <t>Lowside 1ED FLTA fault</t>
    <phoneticPr fontId="23" type="noConversion"/>
  </si>
  <si>
    <t>TIM0_0</t>
    <phoneticPr fontId="23" type="noConversion"/>
  </si>
  <si>
    <t>Highside 1ED FLTA fault</t>
    <phoneticPr fontId="23" type="noConversion"/>
  </si>
  <si>
    <t>Lowside 1ED FLTB fault</t>
    <phoneticPr fontId="23" type="noConversion"/>
  </si>
  <si>
    <t>Highside 1ED FLTB fault</t>
    <phoneticPr fontId="23" type="noConversion"/>
  </si>
  <si>
    <t>I</t>
    <phoneticPr fontId="23" type="noConversion"/>
  </si>
  <si>
    <t>Lowside 1ED RDY signal</t>
    <phoneticPr fontId="23" type="noConversion"/>
  </si>
  <si>
    <t>Highside 1ED RDY signal</t>
    <phoneticPr fontId="23" type="noConversion"/>
  </si>
  <si>
    <r>
      <t>V</t>
    </r>
    <r>
      <rPr>
        <sz val="10"/>
        <rFont val="Arial"/>
        <family val="2"/>
      </rPr>
      <t>0.0</t>
    </r>
    <phoneticPr fontId="23" type="noConversion"/>
  </si>
  <si>
    <t>PDD, pull-down device for pull-down diagnostics, 2.5V</t>
    <phoneticPr fontId="23" type="noConversion"/>
  </si>
  <si>
    <t>硬件配置，HWCFG0，Pull Down</t>
    <phoneticPr fontId="23" type="noConversion"/>
  </si>
  <si>
    <t>N</t>
    <phoneticPr fontId="23" type="noConversion"/>
  </si>
  <si>
    <t>SBC_ROT</t>
    <phoneticPr fontId="23" type="noConversion"/>
  </si>
  <si>
    <t>VDD5_AI</t>
    <phoneticPr fontId="23" type="noConversion"/>
  </si>
  <si>
    <t>Temperature Motor2电机定子温度匹配电阻选择,复用PUMP_PWM_PI</t>
    <phoneticPr fontId="23" type="noConversion"/>
  </si>
  <si>
    <t>MCU给Resolver Buffer的激励，DSCGPWMN（or ATOM1_2），端口驱动能力定义为强</t>
    <phoneticPr fontId="23" type="noConversion"/>
  </si>
  <si>
    <t>MCU给Resolver Buffer的激励，DSCGPWMP（or ATOM2_4），，端口驱动能力定义为强</t>
    <phoneticPr fontId="23" type="noConversion"/>
  </si>
  <si>
    <t>TOM0_12</t>
    <phoneticPr fontId="23" type="noConversion"/>
  </si>
  <si>
    <t>TOM1_7</t>
    <phoneticPr fontId="23" type="noConversion"/>
  </si>
  <si>
    <t>1ED Low side enable</t>
    <phoneticPr fontId="23" type="noConversion"/>
  </si>
  <si>
    <t>SPI3_SCLK，IGBT驱动1EDI2002AS/2010AS芯片驱动</t>
    <phoneticPr fontId="23" type="noConversion"/>
  </si>
  <si>
    <t>驱动反馈采样,TIM2_5</t>
    <phoneticPr fontId="23" type="noConversion"/>
  </si>
  <si>
    <t>TOM0_10</t>
    <phoneticPr fontId="23" type="noConversion"/>
  </si>
  <si>
    <t>State</t>
    <phoneticPr fontId="23" type="noConversion"/>
  </si>
  <si>
    <t>tri-state</t>
  </si>
  <si>
    <t>`</t>
    <phoneticPr fontId="23" type="noConversion"/>
  </si>
  <si>
    <t>Pull down</t>
    <phoneticPr fontId="23" type="noConversion"/>
  </si>
  <si>
    <t>Level2安全状态使能。高：PWM有效；低；FSSTSTE有效。驱动芯片侧需要电容滤波</t>
    <phoneticPr fontId="23" type="noConversion"/>
  </si>
  <si>
    <t>ADCTEST</t>
    <phoneticPr fontId="23" type="noConversion"/>
  </si>
  <si>
    <t>VDD5G1</t>
    <phoneticPr fontId="23" type="noConversion"/>
  </si>
  <si>
    <t>VDD5COM</t>
    <phoneticPr fontId="23" type="noConversion"/>
  </si>
  <si>
    <t>CFI</t>
    <phoneticPr fontId="23" type="noConversion"/>
  </si>
  <si>
    <t>NRSTC</t>
    <phoneticPr fontId="23" type="noConversion"/>
  </si>
  <si>
    <t>NFLTAH</t>
    <phoneticPr fontId="23" type="noConversion"/>
  </si>
  <si>
    <t>NFLTBH</t>
    <phoneticPr fontId="23" type="noConversion"/>
  </si>
  <si>
    <t>SBCINT</t>
    <phoneticPr fontId="23" type="noConversion"/>
  </si>
  <si>
    <t>KL15</t>
    <phoneticPr fontId="23" type="noConversion"/>
  </si>
  <si>
    <t>MR</t>
    <phoneticPr fontId="23" type="noConversion"/>
  </si>
  <si>
    <t>L2ASCEN</t>
    <phoneticPr fontId="23" type="noConversion"/>
  </si>
  <si>
    <t>STL2ASCEN</t>
    <phoneticPr fontId="23" type="noConversion"/>
  </si>
  <si>
    <t>NESO</t>
    <phoneticPr fontId="23" type="noConversion"/>
  </si>
  <si>
    <t>ENSMPS</t>
    <phoneticPr fontId="23" type="noConversion"/>
  </si>
  <si>
    <t>ENCAN</t>
    <phoneticPr fontId="23" type="noConversion"/>
  </si>
  <si>
    <t>NSTBCAN</t>
    <phoneticPr fontId="23" type="noConversion"/>
  </si>
  <si>
    <t>ENH</t>
    <phoneticPr fontId="23" type="noConversion"/>
  </si>
  <si>
    <t>ENL</t>
    <phoneticPr fontId="23" type="noConversion"/>
  </si>
  <si>
    <t>RDYH</t>
    <phoneticPr fontId="23" type="noConversion"/>
  </si>
  <si>
    <t>RDYL</t>
    <phoneticPr fontId="23" type="noConversion"/>
  </si>
  <si>
    <t>CAN1RXD</t>
    <phoneticPr fontId="23" type="noConversion"/>
  </si>
  <si>
    <t>CAN1TXD</t>
    <phoneticPr fontId="23" type="noConversion"/>
  </si>
  <si>
    <t>CAN2RXD</t>
    <phoneticPr fontId="23" type="noConversion"/>
  </si>
  <si>
    <t>CAN2TXD</t>
    <phoneticPr fontId="23" type="noConversion"/>
  </si>
  <si>
    <t>HWCFG0</t>
    <phoneticPr fontId="23" type="noConversion"/>
  </si>
  <si>
    <t>HWCFG2</t>
  </si>
  <si>
    <t>HWCFG3</t>
  </si>
  <si>
    <t>TMS</t>
    <phoneticPr fontId="23" type="noConversion"/>
  </si>
  <si>
    <t>TCK</t>
    <phoneticPr fontId="23" type="noConversion"/>
  </si>
  <si>
    <t>DAP2</t>
    <phoneticPr fontId="23" type="noConversion"/>
  </si>
  <si>
    <t>ShortName</t>
    <phoneticPr fontId="23" type="noConversion"/>
  </si>
  <si>
    <t>EXCP</t>
    <phoneticPr fontId="23" type="noConversion"/>
  </si>
  <si>
    <t>EXCN</t>
    <phoneticPr fontId="23" type="noConversion"/>
  </si>
  <si>
    <t>SINP</t>
    <phoneticPr fontId="23" type="noConversion"/>
  </si>
  <si>
    <t>SINN</t>
    <phoneticPr fontId="23" type="noConversion"/>
  </si>
  <si>
    <t>COSP</t>
    <phoneticPr fontId="23" type="noConversion"/>
  </si>
  <si>
    <t>COSL</t>
    <phoneticPr fontId="23" type="noConversion"/>
  </si>
  <si>
    <t>COSH</t>
    <phoneticPr fontId="23" type="noConversion"/>
  </si>
  <si>
    <t>SINL</t>
    <phoneticPr fontId="23" type="noConversion"/>
  </si>
  <si>
    <t>SINH</t>
    <phoneticPr fontId="23" type="noConversion"/>
  </si>
  <si>
    <t>UBR1</t>
    <phoneticPr fontId="23" type="noConversion"/>
  </si>
  <si>
    <t>UBR2</t>
    <phoneticPr fontId="23" type="noConversion"/>
  </si>
  <si>
    <t>WAKE</t>
    <phoneticPr fontId="23" type="noConversion"/>
  </si>
  <si>
    <t>COSN</t>
    <phoneticPr fontId="23" type="noConversion"/>
  </si>
  <si>
    <t xml:space="preserve">
TC275T</t>
    <phoneticPr fontId="23" type="noConversion"/>
  </si>
  <si>
    <t>TC275 (LQFP)</t>
    <phoneticPr fontId="23" type="noConversion"/>
  </si>
  <si>
    <t>HSI_INVxxxx</t>
    <phoneticPr fontId="23" type="noConversion"/>
  </si>
  <si>
    <t>Level1</t>
  </si>
  <si>
    <t>Level2</t>
  </si>
  <si>
    <t>Level3</t>
  </si>
  <si>
    <t>Power</t>
  </si>
  <si>
    <t>Level1相电流采集2, G5CH4</t>
    <phoneticPr fontId="23" type="noConversion"/>
  </si>
  <si>
    <t>Level2相电流采集3, G5CH5</t>
    <phoneticPr fontId="23" type="noConversion"/>
  </si>
  <si>
    <t>HWVER_AI</t>
    <phoneticPr fontId="23" type="noConversion"/>
  </si>
  <si>
    <t>HWVER</t>
    <phoneticPr fontId="23" type="noConversion"/>
  </si>
  <si>
    <t>Level2相电流采集2, G4CH1</t>
    <phoneticPr fontId="23" type="noConversion"/>
  </si>
  <si>
    <t>Level1相电流采集3, Port端口定义为三态, G6CH0</t>
    <phoneticPr fontId="23" type="noConversion"/>
  </si>
  <si>
    <t>Level2相电流采集1, Port端口定义为三态, G6CH1</t>
    <phoneticPr fontId="23" type="noConversion"/>
  </si>
  <si>
    <t>高压母线电压采集正。通过隔离线性光耦, G2CH1</t>
    <phoneticPr fontId="23" type="noConversion"/>
  </si>
  <si>
    <t>高压母线电压采集负，通过隔离线性光耦, G3CH1</t>
    <phoneticPr fontId="23" type="noConversion"/>
  </si>
  <si>
    <t>VDD5</t>
    <phoneticPr fontId="23" type="noConversion"/>
  </si>
  <si>
    <t>低压模拟主继电器控制，上下电时序,\</t>
    <phoneticPr fontId="23" type="noConversion"/>
  </si>
  <si>
    <t>清除过流锁存信号</t>
    <phoneticPr fontId="23" type="noConversion"/>
  </si>
  <si>
    <t>SPI0_SCLK，35584驱动芯片驱动</t>
    <phoneticPr fontId="23" type="noConversion"/>
  </si>
  <si>
    <t>SPI0_MRST</t>
    <phoneticPr fontId="23" type="noConversion"/>
  </si>
  <si>
    <t>SPI0_MTSR</t>
    <phoneticPr fontId="23" type="noConversion"/>
  </si>
  <si>
    <t>SPI0_CS, 片选, SLSO02</t>
    <phoneticPr fontId="23" type="noConversion"/>
  </si>
  <si>
    <t>XXX</t>
    <phoneticPr fontId="23" type="noConversion"/>
  </si>
  <si>
    <t>P02.0</t>
  </si>
  <si>
    <t>P02.1</t>
  </si>
  <si>
    <t>P02.2</t>
  </si>
  <si>
    <t>P02.3</t>
  </si>
  <si>
    <t>P02.4</t>
  </si>
  <si>
    <t>P02.5</t>
  </si>
  <si>
    <t>P02.6</t>
  </si>
  <si>
    <t>P02.7</t>
  </si>
  <si>
    <t>P02.8</t>
  </si>
  <si>
    <t>P00.0</t>
  </si>
  <si>
    <t>P00.1</t>
  </si>
  <si>
    <t>P00.2</t>
  </si>
  <si>
    <t>P00.3</t>
  </si>
  <si>
    <t>P00.4</t>
  </si>
  <si>
    <t>P00.5</t>
  </si>
  <si>
    <t>P00.6</t>
  </si>
  <si>
    <t>P00.7</t>
  </si>
  <si>
    <t>P00.8</t>
  </si>
  <si>
    <t>P00.9</t>
  </si>
  <si>
    <t>P00.10</t>
  </si>
  <si>
    <t>AN47</t>
  </si>
  <si>
    <t>AN46</t>
  </si>
  <si>
    <t>AN45</t>
  </si>
  <si>
    <t>AN44</t>
  </si>
  <si>
    <t>AN39</t>
  </si>
  <si>
    <t>AN38</t>
  </si>
  <si>
    <t>AN37</t>
  </si>
  <si>
    <t>AN36</t>
  </si>
  <si>
    <t>AN35</t>
  </si>
  <si>
    <t>AN33</t>
  </si>
  <si>
    <t>AN32</t>
  </si>
  <si>
    <t>AN29</t>
  </si>
  <si>
    <t>AN28</t>
  </si>
  <si>
    <t>AN27</t>
  </si>
  <si>
    <t>AN26</t>
  </si>
  <si>
    <t>AN25</t>
  </si>
  <si>
    <t>AN24</t>
  </si>
  <si>
    <t>AN21</t>
  </si>
  <si>
    <t>AN20</t>
  </si>
  <si>
    <t>AN19</t>
  </si>
  <si>
    <t>AN18</t>
  </si>
  <si>
    <t>AN17</t>
  </si>
  <si>
    <t>AN16</t>
  </si>
  <si>
    <t>AN13</t>
  </si>
  <si>
    <t>AN12</t>
  </si>
  <si>
    <t>AN11</t>
  </si>
  <si>
    <t>AN10</t>
  </si>
  <si>
    <t>AN8</t>
  </si>
  <si>
    <t>AN7</t>
  </si>
  <si>
    <t>AN6</t>
  </si>
  <si>
    <t>AN5</t>
  </si>
  <si>
    <t>AN4</t>
  </si>
  <si>
    <t>AN3</t>
  </si>
  <si>
    <t>AN2</t>
  </si>
  <si>
    <t>P33.0</t>
  </si>
  <si>
    <t>P33.4</t>
  </si>
  <si>
    <t>P33.5</t>
  </si>
  <si>
    <t>P33.6</t>
  </si>
  <si>
    <t>P33.7</t>
  </si>
  <si>
    <t>P33.8</t>
  </si>
  <si>
    <t>P33.9</t>
  </si>
  <si>
    <t>P33.10</t>
  </si>
  <si>
    <t>P33.11</t>
  </si>
  <si>
    <t>P33.12</t>
  </si>
  <si>
    <t>P33.13</t>
  </si>
  <si>
    <t>P32.2</t>
  </si>
  <si>
    <t>P32.3</t>
  </si>
  <si>
    <t>P32.4</t>
  </si>
  <si>
    <t>P23.0</t>
  </si>
  <si>
    <t>P23.1</t>
  </si>
  <si>
    <t>P23.2</t>
  </si>
  <si>
    <t>P23.3</t>
  </si>
  <si>
    <t>P23.4</t>
  </si>
  <si>
    <t>P23.5</t>
  </si>
  <si>
    <t>P22.0</t>
  </si>
  <si>
    <t>P22.1</t>
  </si>
  <si>
    <t>P22.2</t>
  </si>
  <si>
    <t>P22.3</t>
  </si>
  <si>
    <t>P21.0</t>
  </si>
  <si>
    <t>P21.1</t>
  </si>
  <si>
    <t>P21.2</t>
  </si>
  <si>
    <t>P21.3</t>
  </si>
  <si>
    <t>P21.4</t>
  </si>
  <si>
    <t>P21.5</t>
  </si>
  <si>
    <t>P20.0</t>
  </si>
  <si>
    <t>P20.1</t>
  </si>
  <si>
    <t>P20.2</t>
  </si>
  <si>
    <t>P20.3</t>
  </si>
  <si>
    <t>P20.6</t>
  </si>
  <si>
    <t>P20.7</t>
  </si>
  <si>
    <t>P20.8</t>
  </si>
  <si>
    <t>P20.9</t>
  </si>
  <si>
    <t>P20.10</t>
  </si>
  <si>
    <t>P20.11</t>
  </si>
  <si>
    <t>P20.12</t>
  </si>
  <si>
    <t>P20.13</t>
  </si>
  <si>
    <t>P20.14</t>
  </si>
  <si>
    <t>P15.2</t>
  </si>
  <si>
    <t>P15.3</t>
  </si>
  <si>
    <t>P15.4</t>
  </si>
  <si>
    <t>P15.5</t>
  </si>
  <si>
    <t>P15.6</t>
  </si>
  <si>
    <t>P15.7</t>
  </si>
  <si>
    <t>P14.3</t>
  </si>
  <si>
    <t>P14.6</t>
  </si>
  <si>
    <t>P14.7</t>
  </si>
  <si>
    <t>P14.8</t>
  </si>
  <si>
    <t>P14.9</t>
  </si>
  <si>
    <t>P14.10</t>
  </si>
  <si>
    <t>P13.0</t>
  </si>
  <si>
    <t>P13.1</t>
  </si>
  <si>
    <t>P13.2</t>
  </si>
  <si>
    <t>P13.3</t>
  </si>
  <si>
    <t>P11.2</t>
  </si>
  <si>
    <t>P11.3</t>
  </si>
  <si>
    <t>P11.6</t>
  </si>
  <si>
    <t>P11.9</t>
  </si>
  <si>
    <t>P11.10</t>
  </si>
  <si>
    <t>P11.11</t>
  </si>
  <si>
    <t>P11.12</t>
  </si>
  <si>
    <t>P10.0</t>
  </si>
  <si>
    <t>P10.1</t>
  </si>
  <si>
    <t>P10.2</t>
  </si>
  <si>
    <t>P10.3</t>
  </si>
  <si>
    <t>P10.4</t>
  </si>
  <si>
    <t>P10.7</t>
  </si>
  <si>
    <t>P10.8</t>
  </si>
  <si>
    <t>IV_A_AI</t>
    <phoneticPr fontId="23" type="noConversion"/>
  </si>
  <si>
    <t>IV_A_AN44</t>
    <phoneticPr fontId="23" type="noConversion"/>
  </si>
  <si>
    <t>IW_A_AI</t>
    <phoneticPr fontId="23" type="noConversion"/>
  </si>
  <si>
    <t>IW_A_AN48</t>
    <phoneticPr fontId="23" type="noConversion"/>
  </si>
  <si>
    <t>IUA</t>
    <phoneticPr fontId="23" type="noConversion"/>
  </si>
  <si>
    <t>IVA</t>
    <phoneticPr fontId="23" type="noConversion"/>
  </si>
  <si>
    <t>IWA</t>
    <phoneticPr fontId="23" type="noConversion"/>
  </si>
  <si>
    <t>IU_A_AN32</t>
    <phoneticPr fontId="23" type="noConversion"/>
  </si>
  <si>
    <t>IU_A_AI</t>
    <phoneticPr fontId="23" type="noConversion"/>
  </si>
  <si>
    <t>IU_B_AN49</t>
    <phoneticPr fontId="23" type="noConversion"/>
  </si>
  <si>
    <t>IV_B_AN33</t>
    <phoneticPr fontId="23" type="noConversion"/>
  </si>
  <si>
    <t>IW_B_AN45</t>
    <phoneticPr fontId="23" type="noConversion"/>
  </si>
  <si>
    <t>IU_B_AI</t>
    <phoneticPr fontId="23" type="noConversion"/>
  </si>
  <si>
    <t>IV_B_AI</t>
    <phoneticPr fontId="23" type="noConversion"/>
  </si>
  <si>
    <t>IW_B_AI</t>
    <phoneticPr fontId="23" type="noConversion"/>
  </si>
  <si>
    <t>IUB</t>
    <phoneticPr fontId="23" type="noConversion"/>
  </si>
  <si>
    <t>IVB</t>
    <phoneticPr fontId="23" type="noConversion"/>
  </si>
  <si>
    <t>IWB</t>
    <phoneticPr fontId="23" type="noConversion"/>
  </si>
  <si>
    <t>EXCP_DS1_AN0</t>
    <phoneticPr fontId="23" type="noConversion"/>
  </si>
  <si>
    <t>EXCP_DS1_AI</t>
    <phoneticPr fontId="23" type="noConversion"/>
  </si>
  <si>
    <t>EXCN_DS1_AN1</t>
    <phoneticPr fontId="23" type="noConversion"/>
  </si>
  <si>
    <t>EXCN_DS1_AI</t>
    <phoneticPr fontId="23" type="noConversion"/>
  </si>
  <si>
    <t>SINP_DS0_AN2</t>
    <phoneticPr fontId="23" type="noConversion"/>
  </si>
  <si>
    <t>SINP_DS0_AI</t>
    <phoneticPr fontId="23" type="noConversion"/>
  </si>
  <si>
    <t>SINN_DS0_AN3</t>
    <phoneticPr fontId="23" type="noConversion"/>
  </si>
  <si>
    <t>SINN_DS0_AI</t>
    <phoneticPr fontId="23" type="noConversion"/>
  </si>
  <si>
    <t>COSN_DS2_AN21</t>
    <phoneticPr fontId="23" type="noConversion"/>
  </si>
  <si>
    <t>COSP_DS2_AN20</t>
    <phoneticPr fontId="23" type="noConversion"/>
  </si>
  <si>
    <t>COSP_DS2_AI</t>
    <phoneticPr fontId="23" type="noConversion"/>
  </si>
  <si>
    <t>SINH_AN4</t>
    <phoneticPr fontId="23" type="noConversion"/>
  </si>
  <si>
    <t>SINH_AI</t>
    <phoneticPr fontId="23" type="noConversion"/>
  </si>
  <si>
    <t>SINL_AN8</t>
    <phoneticPr fontId="23" type="noConversion"/>
  </si>
  <si>
    <t>SINL_AI</t>
    <phoneticPr fontId="23" type="noConversion"/>
  </si>
  <si>
    <t>COSH_AN16</t>
    <phoneticPr fontId="23" type="noConversion"/>
  </si>
  <si>
    <t>COSH_AI</t>
    <phoneticPr fontId="23" type="noConversion"/>
  </si>
  <si>
    <t>COSL_AN24</t>
    <phoneticPr fontId="23" type="noConversion"/>
  </si>
  <si>
    <t>COSL_AI</t>
    <phoneticPr fontId="23" type="noConversion"/>
  </si>
  <si>
    <t>Level1相电流采集1, G4CH0</t>
    <phoneticPr fontId="23" type="noConversion"/>
  </si>
  <si>
    <r>
      <t>旋变软解码level1</t>
    </r>
    <r>
      <rPr>
        <sz val="10"/>
        <color theme="1"/>
        <rFont val="Arial Unicode MS"/>
        <family val="2"/>
        <charset val="134"/>
      </rPr>
      <t>激励差分信号采集，需要分压给MCU.
触发TIM时间捕捉，TIM1_0. DSADC1</t>
    </r>
    <phoneticPr fontId="23" type="noConversion"/>
  </si>
  <si>
    <t>旋变软解码level1反馈信号SIN差分信号采集. DSADC0</t>
    <phoneticPr fontId="23" type="noConversion"/>
  </si>
  <si>
    <t>旋变软解码level1反馈信号COS差分信号采集.DSADC2</t>
    <phoneticPr fontId="23" type="noConversion"/>
  </si>
  <si>
    <t>旋变软解码level2反馈信号SIN+信号, G0CH4</t>
    <phoneticPr fontId="23" type="noConversion"/>
  </si>
  <si>
    <t>旋变软解码level2反馈信号SIN-信号, G1CH0</t>
    <phoneticPr fontId="23" type="noConversion"/>
  </si>
  <si>
    <t>旋变软解码level2反馈信号COS+信号, G2CH0</t>
    <phoneticPr fontId="23" type="noConversion"/>
  </si>
  <si>
    <t>旋变软解码level2反馈信号COS-信号, G3CH0</t>
    <phoneticPr fontId="23" type="noConversion"/>
  </si>
  <si>
    <t>HVUP</t>
    <phoneticPr fontId="23" type="noConversion"/>
  </si>
  <si>
    <t>HVUN</t>
    <phoneticPr fontId="23" type="noConversion"/>
  </si>
  <si>
    <t>HVUP_AN17</t>
    <phoneticPr fontId="23" type="noConversion"/>
  </si>
  <si>
    <t>HVUP_AI</t>
    <phoneticPr fontId="23" type="noConversion"/>
  </si>
  <si>
    <t>HVUN_AN25</t>
    <phoneticPr fontId="23" type="noConversion"/>
  </si>
  <si>
    <t>12V电池电压采集</t>
    <phoneticPr fontId="23" type="noConversion"/>
  </si>
  <si>
    <t>第二路12V电池电压采集, 斜率要求与第一路不能一样</t>
    <phoneticPr fontId="23" type="noConversion"/>
  </si>
  <si>
    <t>UBR1_AN5</t>
    <phoneticPr fontId="23" type="noConversion"/>
  </si>
  <si>
    <t>UBR1_AI</t>
    <phoneticPr fontId="23" type="noConversion"/>
  </si>
  <si>
    <t>UBR2_AI</t>
    <phoneticPr fontId="23" type="noConversion"/>
  </si>
  <si>
    <t>UBR2_AN37</t>
    <phoneticPr fontId="23" type="noConversion"/>
  </si>
  <si>
    <t>ADCTEST_AN35</t>
    <phoneticPr fontId="23" type="noConversion"/>
  </si>
  <si>
    <t>VDD15</t>
    <phoneticPr fontId="23" type="noConversion"/>
  </si>
  <si>
    <t>VDD15_AI</t>
    <phoneticPr fontId="23" type="noConversion"/>
  </si>
  <si>
    <t>VDD15_AN47</t>
    <phoneticPr fontId="23" type="noConversion"/>
  </si>
  <si>
    <t>驱动16V电压信号回采</t>
    <phoneticPr fontId="23" type="noConversion"/>
  </si>
  <si>
    <t>硬件版本信息G4CH5</t>
    <phoneticPr fontId="23" type="noConversion"/>
  </si>
  <si>
    <t>MTEM1_AN11</t>
    <phoneticPr fontId="23" type="noConversion"/>
  </si>
  <si>
    <t>MTEM2_AN13</t>
    <phoneticPr fontId="23" type="noConversion"/>
  </si>
  <si>
    <t>MTEM1</t>
    <phoneticPr fontId="23" type="noConversion"/>
  </si>
  <si>
    <t>MTEM2</t>
    <phoneticPr fontId="23" type="noConversion"/>
  </si>
  <si>
    <t>MTEM2_AI</t>
    <phoneticPr fontId="23" type="noConversion"/>
  </si>
  <si>
    <t>MTEM1_AI</t>
    <phoneticPr fontId="23" type="noConversion"/>
  </si>
  <si>
    <t>VDD5_AN19</t>
    <phoneticPr fontId="23" type="noConversion"/>
  </si>
  <si>
    <t>VDD5G1_AN18</t>
    <phoneticPr fontId="23" type="noConversion"/>
  </si>
  <si>
    <t>VDD5G1_AI</t>
    <phoneticPr fontId="23" type="noConversion"/>
  </si>
  <si>
    <t>VDD5COM_AN27</t>
    <phoneticPr fontId="23" type="noConversion"/>
  </si>
  <si>
    <t>VDD5COM_AI</t>
    <phoneticPr fontId="23" type="noConversion"/>
  </si>
  <si>
    <t>HWVER_AN38</t>
    <phoneticPr fontId="23" type="noConversion"/>
  </si>
  <si>
    <t>PWMTRG_P02_8</t>
    <phoneticPr fontId="23" type="noConversion"/>
  </si>
  <si>
    <t>PU_P02_1</t>
    <phoneticPr fontId="23" type="noConversion"/>
  </si>
  <si>
    <t>PV_P02_2</t>
    <phoneticPr fontId="23" type="noConversion"/>
  </si>
  <si>
    <t>PW_P02_3</t>
    <phoneticPr fontId="23" type="noConversion"/>
  </si>
  <si>
    <t>PX_P02_4</t>
    <phoneticPr fontId="23" type="noConversion"/>
  </si>
  <si>
    <t>PY_P02_5</t>
    <phoneticPr fontId="23" type="noConversion"/>
  </si>
  <si>
    <t>PZ_P02_6</t>
    <phoneticPr fontId="23" type="noConversion"/>
  </si>
  <si>
    <t>PV</t>
    <phoneticPr fontId="23" type="noConversion"/>
  </si>
  <si>
    <t>PW</t>
    <phoneticPr fontId="23" type="noConversion"/>
  </si>
  <si>
    <t>PX</t>
    <phoneticPr fontId="23" type="noConversion"/>
  </si>
  <si>
    <t>PY</t>
    <phoneticPr fontId="23" type="noConversion"/>
  </si>
  <si>
    <t>PZ</t>
    <phoneticPr fontId="23" type="noConversion"/>
  </si>
  <si>
    <t>PU</t>
    <phoneticPr fontId="23" type="noConversion"/>
  </si>
  <si>
    <t>PU</t>
    <phoneticPr fontId="23" type="noConversion"/>
  </si>
  <si>
    <t>PV</t>
    <phoneticPr fontId="23" type="noConversion"/>
  </si>
  <si>
    <t>IGBT驱动信号,ATOM0_1</t>
    <phoneticPr fontId="23" type="noConversion"/>
  </si>
  <si>
    <t>IGBT驱动信号,ATOM0_2</t>
    <phoneticPr fontId="23" type="noConversion"/>
  </si>
  <si>
    <t>IGBT驱动信号,ATOM0_3</t>
    <phoneticPr fontId="23" type="noConversion"/>
  </si>
  <si>
    <t>IGBT驱动信号,ATOM0_4</t>
    <phoneticPr fontId="23" type="noConversion"/>
  </si>
  <si>
    <t>IGBT驱动信号,ATOM0_5</t>
    <phoneticPr fontId="23" type="noConversion"/>
  </si>
  <si>
    <t>IGBT驱动信号,ATOM0_6</t>
    <phoneticPr fontId="23" type="noConversion"/>
  </si>
  <si>
    <t>VADCTRG</t>
    <phoneticPr fontId="23" type="noConversion"/>
  </si>
  <si>
    <t>VADCTRG</t>
    <phoneticPr fontId="23" type="noConversion"/>
  </si>
  <si>
    <t>VADCTRG_P15_8</t>
    <phoneticPr fontId="23" type="noConversion"/>
  </si>
  <si>
    <t>PWMTRG</t>
    <phoneticPr fontId="23" type="noConversion"/>
  </si>
  <si>
    <t>PWMTRG_P00_0</t>
    <phoneticPr fontId="23" type="noConversion"/>
  </si>
  <si>
    <t>PWMTRG</t>
    <phoneticPr fontId="23" type="noConversion"/>
  </si>
  <si>
    <t>PWMTRG</t>
    <phoneticPr fontId="23" type="noConversion"/>
  </si>
  <si>
    <t>2010AS温度采集触发信号</t>
    <phoneticPr fontId="23" type="noConversion"/>
  </si>
  <si>
    <t>ADC2TRG</t>
    <phoneticPr fontId="23" type="noConversion"/>
  </si>
  <si>
    <t>ADC2TRG_P00_3</t>
    <phoneticPr fontId="23" type="noConversion"/>
  </si>
  <si>
    <t>ADC2TRG</t>
    <phoneticPr fontId="23" type="noConversion"/>
  </si>
  <si>
    <t>DOUT_X_P00_6</t>
    <phoneticPr fontId="23" type="noConversion"/>
  </si>
  <si>
    <t>DOUTX</t>
    <phoneticPr fontId="23" type="noConversion"/>
  </si>
  <si>
    <t>DOUTY</t>
    <phoneticPr fontId="23" type="noConversion"/>
  </si>
  <si>
    <t>DOUTZ</t>
    <phoneticPr fontId="23" type="noConversion"/>
  </si>
  <si>
    <t>DOUTX</t>
    <phoneticPr fontId="23" type="noConversion"/>
  </si>
  <si>
    <t>DOUTY</t>
    <phoneticPr fontId="23" type="noConversion"/>
  </si>
  <si>
    <t>DOUTZ</t>
    <phoneticPr fontId="23" type="noConversion"/>
  </si>
  <si>
    <t>DOUT_Y_P00_7</t>
    <phoneticPr fontId="23" type="noConversion"/>
  </si>
  <si>
    <t>DOUT_Z_P00_8</t>
    <phoneticPr fontId="23" type="noConversion"/>
  </si>
  <si>
    <t>EXCL_O_P33_11</t>
    <phoneticPr fontId="23" type="noConversion"/>
  </si>
  <si>
    <t>EXCH_O_P33_12</t>
    <phoneticPr fontId="23" type="noConversion"/>
  </si>
  <si>
    <t>EXCLO</t>
    <phoneticPr fontId="23" type="noConversion"/>
  </si>
  <si>
    <t>EXCHO</t>
    <phoneticPr fontId="23" type="noConversion"/>
  </si>
  <si>
    <t>EXCLO</t>
    <phoneticPr fontId="23" type="noConversion"/>
  </si>
  <si>
    <t>EXCHO</t>
    <phoneticPr fontId="23" type="noConversion"/>
  </si>
  <si>
    <t>RSVTRG</t>
    <phoneticPr fontId="23" type="noConversion"/>
  </si>
  <si>
    <t>RSVTRG_P20_0</t>
    <phoneticPr fontId="23" type="noConversion"/>
  </si>
  <si>
    <t>RSVTRG_O</t>
    <phoneticPr fontId="23" type="noConversion"/>
  </si>
  <si>
    <t>RSVTRG</t>
    <phoneticPr fontId="23" type="noConversion"/>
  </si>
  <si>
    <t>RSVTRG</t>
    <phoneticPr fontId="23" type="noConversion"/>
  </si>
  <si>
    <t>RSVTRG_P20_3</t>
    <phoneticPr fontId="23" type="noConversion"/>
  </si>
  <si>
    <t>硬件过流比较低设置</t>
    <phoneticPr fontId="23" type="noConversion"/>
  </si>
  <si>
    <t>OCPWML</t>
    <phoneticPr fontId="23" type="noConversion"/>
  </si>
  <si>
    <t>OCPWMH</t>
    <phoneticPr fontId="23" type="noConversion"/>
  </si>
  <si>
    <t>OCPWMH_P23_3</t>
    <phoneticPr fontId="23" type="noConversion"/>
  </si>
  <si>
    <t>OCPWML_P23_4</t>
    <phoneticPr fontId="23" type="noConversion"/>
  </si>
  <si>
    <t>OCPWMH</t>
    <phoneticPr fontId="23" type="noConversion"/>
  </si>
  <si>
    <t>DFUP_H_P10_0</t>
    <phoneticPr fontId="23" type="noConversion"/>
  </si>
  <si>
    <t>DFDN_L_P10_1</t>
    <phoneticPr fontId="23" type="noConversion"/>
  </si>
  <si>
    <t>DFDNL</t>
    <phoneticPr fontId="23" type="noConversion"/>
  </si>
  <si>
    <t>DFUPH</t>
    <phoneticPr fontId="23" type="noConversion"/>
  </si>
  <si>
    <t>DFDN_H_P10_3</t>
    <phoneticPr fontId="23" type="noConversion"/>
  </si>
  <si>
    <t>DFUP_L_P10_2</t>
    <phoneticPr fontId="23" type="noConversion"/>
  </si>
  <si>
    <t>DFDNH</t>
    <phoneticPr fontId="23" type="noConversion"/>
  </si>
  <si>
    <t>DFUPL</t>
    <phoneticPr fontId="23" type="noConversion"/>
  </si>
  <si>
    <t>DFDN_L</t>
    <phoneticPr fontId="23" type="noConversion"/>
  </si>
  <si>
    <t>DFUP_L</t>
    <phoneticPr fontId="23" type="noConversion"/>
  </si>
  <si>
    <t>DFDN_H</t>
    <phoneticPr fontId="23" type="noConversion"/>
  </si>
  <si>
    <t>DFUP_H</t>
    <phoneticPr fontId="23" type="noConversion"/>
  </si>
  <si>
    <t>TOM2_13</t>
    <phoneticPr fontId="23" type="noConversion"/>
  </si>
  <si>
    <t>WDI</t>
    <phoneticPr fontId="23" type="noConversion"/>
  </si>
  <si>
    <t>WDI</t>
    <phoneticPr fontId="23" type="noConversion"/>
  </si>
  <si>
    <t>WDI_P20_9</t>
    <phoneticPr fontId="23" type="noConversion"/>
  </si>
  <si>
    <t>CRASH</t>
    <phoneticPr fontId="23" type="noConversion"/>
  </si>
  <si>
    <t>CRASH_P20_8</t>
    <phoneticPr fontId="23" type="noConversion"/>
  </si>
  <si>
    <t>CRASH</t>
    <phoneticPr fontId="23" type="noConversion"/>
  </si>
  <si>
    <t>CFI_P15_5</t>
    <phoneticPr fontId="23" type="noConversion"/>
  </si>
  <si>
    <t>NRSTC</t>
    <phoneticPr fontId="23" type="noConversion"/>
  </si>
  <si>
    <t>综合故障</t>
    <phoneticPr fontId="23" type="noConversion"/>
  </si>
  <si>
    <t>OCLOCK</t>
    <phoneticPr fontId="23" type="noConversion"/>
  </si>
  <si>
    <t>OCLOCK_P33_1</t>
    <phoneticPr fontId="23" type="noConversion"/>
  </si>
  <si>
    <t>NOC</t>
    <phoneticPr fontId="23" type="noConversion"/>
  </si>
  <si>
    <t>NOC_P33_0</t>
    <phoneticPr fontId="23" type="noConversion"/>
  </si>
  <si>
    <t>NOV1</t>
    <phoneticPr fontId="23" type="noConversion"/>
  </si>
  <si>
    <t>NOV2</t>
    <phoneticPr fontId="23" type="noConversion"/>
  </si>
  <si>
    <t>NOV1</t>
    <phoneticPr fontId="23" type="noConversion"/>
  </si>
  <si>
    <t>NOV2_P33_3</t>
    <phoneticPr fontId="23" type="noConversion"/>
  </si>
  <si>
    <t>NOV1_P33_2</t>
    <phoneticPr fontId="23" type="noConversion"/>
  </si>
  <si>
    <t>NOV2</t>
    <phoneticPr fontId="23" type="noConversion"/>
  </si>
  <si>
    <t>TIM1_5</t>
    <phoneticPr fontId="23" type="noConversion"/>
  </si>
  <si>
    <t>NFLTAL</t>
    <phoneticPr fontId="23" type="noConversion"/>
  </si>
  <si>
    <t>NFLTBH</t>
    <phoneticPr fontId="23" type="noConversion"/>
  </si>
  <si>
    <t>NFLTAH</t>
    <phoneticPr fontId="23" type="noConversion"/>
  </si>
  <si>
    <t>SBC_INT</t>
    <phoneticPr fontId="23" type="noConversion"/>
  </si>
  <si>
    <t>SBC_INT_ESR1</t>
    <phoneticPr fontId="23" type="noConversion"/>
  </si>
  <si>
    <t>KL15_P20_6</t>
    <phoneticPr fontId="23" type="noConversion"/>
  </si>
  <si>
    <t>KL15</t>
    <phoneticPr fontId="23" type="noConversion"/>
  </si>
  <si>
    <t>SBC interrupt to MCU</t>
    <phoneticPr fontId="23" type="noConversion"/>
  </si>
  <si>
    <t>WAKE_P20_1</t>
    <phoneticPr fontId="23" type="noConversion"/>
  </si>
  <si>
    <t>MR_P23_0</t>
    <phoneticPr fontId="23" type="noConversion"/>
  </si>
  <si>
    <t>MR</t>
    <phoneticPr fontId="23" type="noConversion"/>
  </si>
  <si>
    <t>WAKE</t>
    <phoneticPr fontId="23" type="noConversion"/>
  </si>
  <si>
    <t>L2_ASCEN_P15_3</t>
    <phoneticPr fontId="23" type="noConversion"/>
  </si>
  <si>
    <t>L2_ASCEN</t>
    <phoneticPr fontId="23" type="noConversion"/>
  </si>
  <si>
    <t>ST_L2_ASCEN_P15_4</t>
    <phoneticPr fontId="23" type="noConversion"/>
  </si>
  <si>
    <t>ST_L2_ASCEN</t>
    <phoneticPr fontId="23" type="noConversion"/>
  </si>
  <si>
    <t>NESO</t>
    <phoneticPr fontId="23" type="noConversion"/>
  </si>
  <si>
    <t>CAN0 enable</t>
    <phoneticPr fontId="23" type="noConversion"/>
  </si>
  <si>
    <t>CAN0 standby enable</t>
    <phoneticPr fontId="23" type="noConversion"/>
  </si>
  <si>
    <t>MTEM2SEL</t>
    <phoneticPr fontId="23" type="noConversion"/>
  </si>
  <si>
    <t>MTEM1SEL</t>
    <phoneticPr fontId="23" type="noConversion"/>
  </si>
  <si>
    <t>MTEM1SEL_P32_2</t>
    <phoneticPr fontId="23" type="noConversion"/>
  </si>
  <si>
    <t>MTEM2SEL_P32_3</t>
    <phoneticPr fontId="23" type="noConversion"/>
  </si>
  <si>
    <t>NTM</t>
    <phoneticPr fontId="23" type="noConversion"/>
  </si>
  <si>
    <t>NTM_P15_6</t>
    <phoneticPr fontId="23" type="noConversion"/>
  </si>
  <si>
    <t>ENSMPS_P20_7</t>
    <phoneticPr fontId="23" type="noConversion"/>
  </si>
  <si>
    <t>ENSMPS</t>
    <phoneticPr fontId="23" type="noConversion"/>
  </si>
  <si>
    <t>ENCAN_P14_9</t>
    <phoneticPr fontId="23" type="noConversion"/>
  </si>
  <si>
    <t>NSTBCAN_P14_10</t>
    <phoneticPr fontId="23" type="noConversion"/>
  </si>
  <si>
    <t>ENCAN</t>
    <phoneticPr fontId="23" type="noConversion"/>
  </si>
  <si>
    <t>NSTBCAN</t>
    <phoneticPr fontId="23" type="noConversion"/>
  </si>
  <si>
    <t>ENH_P14_8</t>
    <phoneticPr fontId="23" type="noConversion"/>
  </si>
  <si>
    <t>ENL_P14_7</t>
    <phoneticPr fontId="23" type="noConversion"/>
  </si>
  <si>
    <t>ENH</t>
    <phoneticPr fontId="23" type="noConversion"/>
  </si>
  <si>
    <t>ENL</t>
    <phoneticPr fontId="23" type="noConversion"/>
  </si>
  <si>
    <t>RDYH_P13_0</t>
    <phoneticPr fontId="23" type="noConversion"/>
  </si>
  <si>
    <t>RDYL_P13_3</t>
    <phoneticPr fontId="23" type="noConversion"/>
  </si>
  <si>
    <t>RDYH</t>
    <phoneticPr fontId="23" type="noConversion"/>
  </si>
  <si>
    <t>RDYL</t>
    <phoneticPr fontId="23" type="noConversion"/>
  </si>
  <si>
    <t>LED1_P21_1</t>
    <phoneticPr fontId="23" type="noConversion"/>
  </si>
  <si>
    <t>LED3_P21_5</t>
    <phoneticPr fontId="23" type="noConversion"/>
  </si>
  <si>
    <t>LED1</t>
    <phoneticPr fontId="23" type="noConversion"/>
  </si>
  <si>
    <t>LED2</t>
    <phoneticPr fontId="23" type="noConversion"/>
  </si>
  <si>
    <t>LED2</t>
    <phoneticPr fontId="23" type="noConversion"/>
  </si>
  <si>
    <t>LED3</t>
    <phoneticPr fontId="23" type="noConversion"/>
  </si>
  <si>
    <t>LED2_P21_4</t>
    <phoneticPr fontId="23" type="noConversion"/>
  </si>
  <si>
    <t>LED3</t>
    <phoneticPr fontId="23" type="noConversion"/>
  </si>
  <si>
    <t>NOCCLR</t>
    <phoneticPr fontId="23" type="noConversion"/>
  </si>
  <si>
    <t>NOC_CLR</t>
    <phoneticPr fontId="23" type="noConversion"/>
  </si>
  <si>
    <t>NOC_CLR_P15_2</t>
    <phoneticPr fontId="23" type="noConversion"/>
  </si>
  <si>
    <t>DRV_CLK3</t>
    <phoneticPr fontId="23" type="noConversion"/>
  </si>
  <si>
    <t>DRV_MTSR3_P22_0</t>
    <phoneticPr fontId="23" type="noConversion"/>
  </si>
  <si>
    <t>DRV_MTSR3</t>
    <phoneticPr fontId="23" type="noConversion"/>
  </si>
  <si>
    <t>DRV_MRST3_P22_1</t>
    <phoneticPr fontId="23" type="noConversion"/>
  </si>
  <si>
    <t>DRV_MRST3</t>
    <phoneticPr fontId="23" type="noConversion"/>
  </si>
  <si>
    <t>DRVCSH</t>
    <phoneticPr fontId="23" type="noConversion"/>
  </si>
  <si>
    <t>DRVCSL</t>
    <phoneticPr fontId="23" type="noConversion"/>
  </si>
  <si>
    <t>SPI3_CS, 片选, SLSO313，菊花链</t>
    <phoneticPr fontId="23" type="noConversion"/>
  </si>
  <si>
    <t>SPI3_CS, 片选,SLSO312,，菊花链</t>
    <phoneticPr fontId="23" type="noConversion"/>
  </si>
  <si>
    <t>DRV_CLK3_P22_3</t>
    <phoneticPr fontId="23" type="noConversion"/>
  </si>
  <si>
    <t>DRVCLK3</t>
    <phoneticPr fontId="23" type="noConversion"/>
  </si>
  <si>
    <t>DRVMTSR3</t>
    <phoneticPr fontId="23" type="noConversion"/>
  </si>
  <si>
    <t>DRVMRST3</t>
    <phoneticPr fontId="23" type="noConversion"/>
  </si>
  <si>
    <t>DRV_CS312H_P22_2</t>
    <phoneticPr fontId="23" type="noConversion"/>
  </si>
  <si>
    <t>DRV_CS313L_P23_1</t>
    <phoneticPr fontId="23" type="noConversion"/>
  </si>
  <si>
    <t>SBCCLK0</t>
    <phoneticPr fontId="23" type="noConversion"/>
  </si>
  <si>
    <t>SBCMRST0</t>
    <phoneticPr fontId="23" type="noConversion"/>
  </si>
  <si>
    <t>SBCMTSR0</t>
    <phoneticPr fontId="23" type="noConversion"/>
  </si>
  <si>
    <t>SBCCS</t>
    <phoneticPr fontId="23" type="noConversion"/>
  </si>
  <si>
    <t>SBC_CLK0_P20_11</t>
    <phoneticPr fontId="23" type="noConversion"/>
  </si>
  <si>
    <t>SBC_CLK0</t>
    <phoneticPr fontId="23" type="noConversion"/>
  </si>
  <si>
    <t>SBC_MRST0_P20_12</t>
    <phoneticPr fontId="23" type="noConversion"/>
  </si>
  <si>
    <t>SBC_MRST0</t>
    <phoneticPr fontId="23" type="noConversion"/>
  </si>
  <si>
    <t>SBC_MTSR0_P20_14</t>
    <phoneticPr fontId="23" type="noConversion"/>
  </si>
  <si>
    <t>SBC_MTSR0</t>
    <phoneticPr fontId="23" type="noConversion"/>
  </si>
  <si>
    <t>SBC_CS002_P20_13</t>
    <phoneticPr fontId="23" type="noConversion"/>
  </si>
  <si>
    <t>SBC_CS002</t>
    <phoneticPr fontId="23" type="noConversion"/>
  </si>
  <si>
    <t>CAN1RXD_P14_1</t>
    <phoneticPr fontId="23" type="noConversion"/>
  </si>
  <si>
    <t>CAN1TXD_P14_0</t>
    <phoneticPr fontId="23" type="noConversion"/>
  </si>
  <si>
    <t>CAN2RXD_P15_1</t>
    <phoneticPr fontId="23" type="noConversion"/>
  </si>
  <si>
    <t>CAN2TXD_P15_0</t>
    <phoneticPr fontId="23" type="noConversion"/>
  </si>
  <si>
    <t>CAN1RXD</t>
    <phoneticPr fontId="23" type="noConversion"/>
  </si>
  <si>
    <t>CAN1TXD</t>
    <phoneticPr fontId="23" type="noConversion"/>
  </si>
  <si>
    <t>CAN2RXD</t>
    <phoneticPr fontId="23" type="noConversion"/>
  </si>
  <si>
    <t>CAN2TXD</t>
    <phoneticPr fontId="23" type="noConversion"/>
  </si>
  <si>
    <t>Generic Bootstrap Loader-CAN, 不可变更
刷新CAN，要求常供电，CAN唤醒</t>
    <phoneticPr fontId="23" type="noConversion"/>
  </si>
  <si>
    <t>硬件配置，HWCFG1，NC</t>
    <phoneticPr fontId="23" type="noConversion"/>
  </si>
  <si>
    <t>硬件配置，HWCFG2，NC</t>
    <phoneticPr fontId="23" type="noConversion"/>
  </si>
  <si>
    <t>硬件配置，HWCFG4，Pull Down</t>
    <phoneticPr fontId="23" type="noConversion"/>
  </si>
  <si>
    <t>硬件配置，HWCFG6，NC</t>
    <phoneticPr fontId="23" type="noConversion"/>
  </si>
  <si>
    <t>硬件配置，HWCFG5，BSL控制</t>
    <phoneticPr fontId="23" type="noConversion"/>
  </si>
  <si>
    <t>NFLTBL</t>
    <phoneticPr fontId="23" type="noConversion"/>
  </si>
  <si>
    <t>NFLTBH_P10_8</t>
    <phoneticPr fontId="23" type="noConversion"/>
  </si>
  <si>
    <t>NFLTAH_P02_0</t>
    <phoneticPr fontId="23" type="noConversion"/>
  </si>
  <si>
    <t>NFLTAL_P00_4</t>
    <phoneticPr fontId="23" type="noConversion"/>
  </si>
  <si>
    <t>NFLTBL_P00_5</t>
    <phoneticPr fontId="23" type="noConversion"/>
  </si>
  <si>
    <t>NFLTBL</t>
    <phoneticPr fontId="23" type="noConversion"/>
  </si>
  <si>
    <t>NFLTAL</t>
    <phoneticPr fontId="23" type="noConversion"/>
  </si>
  <si>
    <t>TIM2_4</t>
    <phoneticPr fontId="23" type="noConversion"/>
  </si>
  <si>
    <t>TIM3_3</t>
    <phoneticPr fontId="23" type="noConversion"/>
  </si>
  <si>
    <t>TIM2_2</t>
    <phoneticPr fontId="23" type="noConversion"/>
  </si>
  <si>
    <t>NFLT_SUM_P11_3</t>
    <phoneticPr fontId="23" type="noConversion"/>
  </si>
  <si>
    <t>NFLTSUM</t>
    <phoneticPr fontId="23" type="noConversion"/>
  </si>
  <si>
    <t>ZXC,ZWB,LYH</t>
    <phoneticPr fontId="23" type="noConversion"/>
  </si>
  <si>
    <t>First version</t>
    <phoneticPr fontId="23" type="noConversion"/>
  </si>
  <si>
    <t>TIM0_7</t>
    <phoneticPr fontId="23" type="noConversion"/>
  </si>
  <si>
    <r>
      <t>HVU</t>
    </r>
    <r>
      <rPr>
        <sz val="10"/>
        <color rgb="FFFF0000"/>
        <rFont val="Arial"/>
        <family val="2"/>
      </rPr>
      <t>N</t>
    </r>
    <r>
      <rPr>
        <sz val="10"/>
        <rFont val="Arial"/>
        <family val="2"/>
      </rPr>
      <t>_AI</t>
    </r>
    <phoneticPr fontId="23" type="noConversion"/>
  </si>
  <si>
    <r>
      <rPr>
        <sz val="10"/>
        <color rgb="FFFF0000"/>
        <rFont val="Arial"/>
        <family val="2"/>
      </rPr>
      <t>N</t>
    </r>
    <r>
      <rPr>
        <sz val="10"/>
        <rFont val="Arial"/>
        <family val="2"/>
      </rPr>
      <t>ERR</t>
    </r>
    <phoneticPr fontId="23" type="noConversion"/>
  </si>
  <si>
    <r>
      <rPr>
        <sz val="10"/>
        <color rgb="FFFF0000"/>
        <rFont val="Arial"/>
        <family val="2"/>
      </rPr>
      <t>N</t>
    </r>
    <r>
      <rPr>
        <sz val="10"/>
        <rFont val="Arial"/>
        <family val="2"/>
      </rPr>
      <t>ERR_P33_8</t>
    </r>
    <phoneticPr fontId="23" type="noConversion"/>
  </si>
  <si>
    <r>
      <rPr>
        <sz val="10"/>
        <color rgb="FFFF0000"/>
        <rFont val="Arial"/>
        <family val="2"/>
      </rPr>
      <t>SBC_</t>
    </r>
    <r>
      <rPr>
        <sz val="10"/>
        <rFont val="Arial"/>
        <family val="2"/>
      </rPr>
      <t>ERR</t>
    </r>
    <phoneticPr fontId="23" type="noConversion"/>
  </si>
  <si>
    <r>
      <t>NESO_P</t>
    </r>
    <r>
      <rPr>
        <sz val="10"/>
        <color rgb="FFFF0000"/>
        <rFont val="Arial"/>
        <family val="2"/>
      </rPr>
      <t>0</t>
    </r>
    <r>
      <rPr>
        <sz val="10"/>
        <rFont val="Arial"/>
        <family val="2"/>
      </rPr>
      <t>2_7</t>
    </r>
    <phoneticPr fontId="23" type="noConversion"/>
  </si>
  <si>
    <r>
      <rPr>
        <sz val="10"/>
        <color rgb="FFFF0000"/>
        <rFont val="Arial"/>
        <family val="2"/>
      </rPr>
      <t>SBC_</t>
    </r>
    <r>
      <rPr>
        <sz val="10"/>
        <rFont val="Arial"/>
        <family val="2"/>
      </rPr>
      <t>TM</t>
    </r>
    <phoneticPr fontId="23" type="noConversion"/>
  </si>
  <si>
    <r>
      <t>DRV_CS312</t>
    </r>
    <r>
      <rPr>
        <sz val="10"/>
        <color rgb="FFFF0000"/>
        <rFont val="Arial"/>
        <family val="2"/>
      </rPr>
      <t>H</t>
    </r>
    <phoneticPr fontId="23" type="noConversion"/>
  </si>
  <si>
    <r>
      <t>DRV_CS313</t>
    </r>
    <r>
      <rPr>
        <sz val="10"/>
        <color rgb="FFFF0000"/>
        <rFont val="Arial"/>
        <family val="2"/>
      </rPr>
      <t>L</t>
    </r>
    <phoneticPr fontId="23" type="noConversion"/>
  </si>
  <si>
    <t>LYH</t>
    <phoneticPr fontId="23" type="noConversion"/>
  </si>
  <si>
    <t>TRST</t>
    <phoneticPr fontId="23" type="noConversion"/>
  </si>
  <si>
    <r>
      <t>PWMTRG</t>
    </r>
    <r>
      <rPr>
        <sz val="10"/>
        <color rgb="FFFF0000"/>
        <rFont val="Arial"/>
        <family val="2"/>
      </rPr>
      <t>_O</t>
    </r>
    <phoneticPr fontId="23" type="noConversion"/>
  </si>
  <si>
    <t>RES1_AN6</t>
    <phoneticPr fontId="23" type="noConversion"/>
  </si>
  <si>
    <t>RES1</t>
    <phoneticPr fontId="23" type="noConversion"/>
  </si>
  <si>
    <t>RES2</t>
  </si>
  <si>
    <t>RES3</t>
  </si>
  <si>
    <t>RES4</t>
  </si>
  <si>
    <t>信号端子预留信号2</t>
  </si>
  <si>
    <t>信号端子预留信号3</t>
  </si>
  <si>
    <t>信号端子预留信号4</t>
  </si>
  <si>
    <t>Pin Name</t>
    <phoneticPr fontId="23" type="noConversion"/>
  </si>
  <si>
    <t>N</t>
    <phoneticPr fontId="23" type="noConversion"/>
  </si>
  <si>
    <r>
      <t>COS</t>
    </r>
    <r>
      <rPr>
        <sz val="10"/>
        <color rgb="FFFF0000"/>
        <rFont val="Arial"/>
        <family val="2"/>
      </rPr>
      <t>N</t>
    </r>
    <r>
      <rPr>
        <sz val="10"/>
        <rFont val="Arial"/>
        <family val="2"/>
      </rPr>
      <t>_DS2_AI</t>
    </r>
    <phoneticPr fontId="23" type="noConversion"/>
  </si>
  <si>
    <t>A</t>
    <phoneticPr fontId="23" type="noConversion"/>
  </si>
  <si>
    <t>TESTMODE</t>
  </si>
  <si>
    <t>TESTMODE_P20_2</t>
    <phoneticPr fontId="23" type="noConversion"/>
  </si>
  <si>
    <t>TESTMODE</t>
    <phoneticPr fontId="23" type="noConversion"/>
  </si>
  <si>
    <t>硬件配置，HWCFG3，Pull Down</t>
    <phoneticPr fontId="23" type="noConversion"/>
  </si>
  <si>
    <t>Pull Up to VDD5</t>
    <phoneticPr fontId="23" type="noConversion"/>
  </si>
  <si>
    <t>V1.0</t>
    <phoneticPr fontId="23" type="noConversion"/>
  </si>
  <si>
    <t>信号端子预留信号1</t>
    <phoneticPr fontId="23" type="noConversion"/>
  </si>
  <si>
    <t>RES2_AN10</t>
    <phoneticPr fontId="23" type="noConversion"/>
  </si>
  <si>
    <t>RES3_AN36</t>
    <phoneticPr fontId="23" type="noConversion"/>
  </si>
  <si>
    <t>RES4_AN28</t>
    <phoneticPr fontId="23" type="noConversion"/>
  </si>
  <si>
    <t>Reserved Signals</t>
    <phoneticPr fontId="23" type="noConversion"/>
  </si>
  <si>
    <t>PinNumber</t>
    <phoneticPr fontId="40" type="noConversion"/>
  </si>
  <si>
    <t>PinName</t>
    <phoneticPr fontId="40" type="noConversion"/>
  </si>
  <si>
    <t>Signal Name</t>
    <phoneticPr fontId="40" type="noConversion"/>
  </si>
  <si>
    <r>
      <rPr>
        <b/>
        <sz val="10"/>
        <rFont val="微软雅黑"/>
        <family val="2"/>
        <charset val="134"/>
      </rPr>
      <t>备注</t>
    </r>
    <phoneticPr fontId="40" type="noConversion"/>
  </si>
  <si>
    <r>
      <t>Signal Name</t>
    </r>
    <r>
      <rPr>
        <sz val="10"/>
        <rFont val="微软雅黑"/>
        <family val="2"/>
        <charset val="134"/>
      </rPr>
      <t>由</t>
    </r>
    <r>
      <rPr>
        <sz val="10"/>
        <rFont val="Arial"/>
        <family val="2"/>
      </rPr>
      <t>HSI</t>
    </r>
    <r>
      <rPr>
        <sz val="10"/>
        <rFont val="微软雅黑"/>
        <family val="2"/>
        <charset val="134"/>
      </rPr>
      <t>链接过来</t>
    </r>
    <phoneticPr fontId="40" type="noConversion"/>
  </si>
  <si>
    <t>VDD/VDDSB</t>
    <phoneticPr fontId="40" type="noConversion"/>
  </si>
  <si>
    <t>VDD1V3</t>
    <phoneticPr fontId="40" type="noConversion"/>
  </si>
  <si>
    <t>Signal Name为手动输入</t>
    <phoneticPr fontId="40" type="noConversion"/>
  </si>
  <si>
    <r>
      <t>Signal Name</t>
    </r>
    <r>
      <rPr>
        <sz val="10"/>
        <rFont val="宋体"/>
        <family val="3"/>
        <charset val="134"/>
      </rPr>
      <t>由</t>
    </r>
    <r>
      <rPr>
        <sz val="10"/>
        <rFont val="Arial"/>
        <family val="2"/>
      </rPr>
      <t>HSI</t>
    </r>
    <r>
      <rPr>
        <sz val="10"/>
        <rFont val="宋体"/>
        <family val="3"/>
        <charset val="134"/>
      </rPr>
      <t>链接过来</t>
    </r>
    <phoneticPr fontId="40" type="noConversion"/>
  </si>
  <si>
    <t>AN49</t>
    <phoneticPr fontId="40" type="noConversion"/>
  </si>
  <si>
    <t>AN48</t>
    <phoneticPr fontId="40" type="noConversion"/>
  </si>
  <si>
    <t>VDD</t>
    <phoneticPr fontId="40" type="noConversion"/>
  </si>
  <si>
    <r>
      <t>Signal Name</t>
    </r>
    <r>
      <rPr>
        <sz val="10"/>
        <color rgb="FFFF0000"/>
        <rFont val="宋体"/>
        <family val="3"/>
        <charset val="134"/>
      </rPr>
      <t>为手动输入</t>
    </r>
    <phoneticPr fontId="40" type="noConversion"/>
  </si>
  <si>
    <t>VEXT</t>
    <phoneticPr fontId="40" type="noConversion"/>
  </si>
  <si>
    <t>VDD5</t>
    <phoneticPr fontId="40" type="noConversion"/>
  </si>
  <si>
    <t>VAREF2</t>
    <phoneticPr fontId="40" type="noConversion"/>
  </si>
  <si>
    <t>VAGND2</t>
    <phoneticPr fontId="40" type="noConversion"/>
  </si>
  <si>
    <t>GND</t>
    <phoneticPr fontId="40" type="noConversion"/>
  </si>
  <si>
    <r>
      <t>Signal Name</t>
    </r>
    <r>
      <rPr>
        <sz val="10"/>
        <rFont val="宋体"/>
        <family val="3"/>
        <charset val="134"/>
      </rPr>
      <t>由</t>
    </r>
    <r>
      <rPr>
        <sz val="10"/>
        <rFont val="Arial"/>
        <family val="2"/>
      </rPr>
      <t>HSI</t>
    </r>
    <r>
      <rPr>
        <sz val="10"/>
        <rFont val="宋体"/>
        <family val="3"/>
        <charset val="134"/>
      </rPr>
      <t>链接过来</t>
    </r>
    <phoneticPr fontId="40" type="noConversion"/>
  </si>
  <si>
    <t>VAGND1</t>
    <phoneticPr fontId="40" type="noConversion"/>
  </si>
  <si>
    <t>GND</t>
    <phoneticPr fontId="40" type="noConversion"/>
  </si>
  <si>
    <t>VAREF1</t>
    <phoneticPr fontId="40" type="noConversion"/>
  </si>
  <si>
    <t>VSSM</t>
    <phoneticPr fontId="40" type="noConversion"/>
  </si>
  <si>
    <t>VDDM</t>
    <phoneticPr fontId="40" type="noConversion"/>
  </si>
  <si>
    <t>VDD5_REF</t>
    <phoneticPr fontId="40" type="noConversion"/>
  </si>
  <si>
    <t>VDD5</t>
    <phoneticPr fontId="40" type="noConversion"/>
  </si>
  <si>
    <t>VGATE1N</t>
    <phoneticPr fontId="40" type="noConversion"/>
  </si>
  <si>
    <t>VGATE1P</t>
    <phoneticPr fontId="40" type="noConversion"/>
  </si>
  <si>
    <t>VSS</t>
    <phoneticPr fontId="40" type="noConversion"/>
  </si>
  <si>
    <t>XTAL1</t>
    <phoneticPr fontId="40" type="noConversion"/>
  </si>
  <si>
    <t>XTAL2</t>
    <phoneticPr fontId="40" type="noConversion"/>
  </si>
  <si>
    <t>VDDP3</t>
    <phoneticPr fontId="40" type="noConversion"/>
  </si>
  <si>
    <t>VDD3V3</t>
    <phoneticPr fontId="40" type="noConversion"/>
  </si>
  <si>
    <t>P21.6/TDI</t>
    <phoneticPr fontId="40" type="noConversion"/>
  </si>
  <si>
    <t>TMS/DAP1</t>
    <phoneticPr fontId="40" type="noConversion"/>
  </si>
  <si>
    <t>P21.7/TDO/DAP2</t>
    <phoneticPr fontId="40" type="noConversion"/>
  </si>
  <si>
    <t>TRST</t>
    <phoneticPr fontId="40" type="noConversion"/>
  </si>
  <si>
    <t>TCK/DAP0</t>
    <phoneticPr fontId="40" type="noConversion"/>
  </si>
  <si>
    <t>TCK/DAP0</t>
    <phoneticPr fontId="40" type="noConversion"/>
  </si>
  <si>
    <t>ESR1</t>
    <phoneticPr fontId="40" type="noConversion"/>
  </si>
  <si>
    <t>PORST</t>
    <phoneticPr fontId="40" type="noConversion"/>
  </si>
  <si>
    <t>PORST</t>
    <phoneticPr fontId="40" type="noConversion"/>
  </si>
  <si>
    <t>ESR0</t>
    <phoneticPr fontId="40" type="noConversion"/>
  </si>
  <si>
    <t>VDD</t>
    <phoneticPr fontId="40" type="noConversion"/>
  </si>
  <si>
    <t>VDD1V3</t>
    <phoneticPr fontId="40" type="noConversion"/>
  </si>
  <si>
    <t>VDDFL3</t>
    <phoneticPr fontId="40" type="noConversion"/>
  </si>
  <si>
    <t>VFLEX</t>
    <phoneticPr fontId="40" type="noConversion"/>
  </si>
  <si>
    <t>Accept</t>
  </si>
  <si>
    <t>看门狗控制输出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</si>
</sst>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-* #,##0.00\ &quot;€&quot;_-;\-* #,##0.00\ &quot;€&quot;_-;_-* &quot;-&quot;??\ &quot;€&quot;_-;_-@_-"/>
  </numFmts>
  <fonts count="60" x14ac:knownFonts="1">
    <font>
      <sz val="10"/>
      <name val="Arial"/>
      <family val="2"/>
    </font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7"/>
      <color indexed="8"/>
      <name val="Arial"/>
      <family val="2"/>
    </font>
    <font>
      <sz val="6"/>
      <color indexed="8"/>
      <name val="Arial"/>
      <family val="2"/>
    </font>
    <font>
      <sz val="11"/>
      <color indexed="60"/>
      <name val="Calibri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u/>
      <sz val="10"/>
      <name val="Arial"/>
      <family val="2"/>
    </font>
    <font>
      <sz val="12"/>
      <name val="Arial"/>
      <family val="2"/>
    </font>
    <font>
      <sz val="12"/>
      <name val="Tms Rmn"/>
      <family val="1"/>
    </font>
    <font>
      <b/>
      <sz val="12"/>
      <name val="Arial"/>
      <family val="2"/>
    </font>
    <font>
      <sz val="7"/>
      <name val="Small Fonts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sz val="11"/>
      <color rgb="FF9C6500"/>
      <name val="宋体"/>
      <family val="2"/>
      <scheme val="minor"/>
    </font>
    <font>
      <sz val="10"/>
      <color theme="1"/>
      <name val="Arial"/>
      <family val="2"/>
    </font>
    <font>
      <sz val="18"/>
      <name val="Arial"/>
      <family val="2"/>
    </font>
    <font>
      <sz val="9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6"/>
      <name val="Arial"/>
      <family val="2"/>
    </font>
    <font>
      <sz val="10"/>
      <name val="Arial Unicode MS"/>
      <family val="2"/>
      <charset val="134"/>
    </font>
    <font>
      <b/>
      <sz val="10"/>
      <name val="Arial Unicode MS"/>
      <family val="2"/>
      <charset val="134"/>
    </font>
    <font>
      <sz val="10"/>
      <color theme="1"/>
      <name val="Arial Unicode MS"/>
      <family val="2"/>
      <charset val="134"/>
    </font>
    <font>
      <sz val="10"/>
      <color indexed="8"/>
      <name val="Arial Unicode MS"/>
      <family val="2"/>
      <charset val="134"/>
    </font>
    <font>
      <sz val="10"/>
      <color rgb="FFFF0000"/>
      <name val="Arial"/>
      <family val="2"/>
    </font>
    <font>
      <b/>
      <sz val="16"/>
      <color theme="1"/>
      <name val="Arial"/>
      <family val="2"/>
    </font>
    <font>
      <sz val="9"/>
      <color rgb="FF333333"/>
      <name val="Arial"/>
      <family val="2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6"/>
      <color rgb="FFFF0000"/>
      <name val="Arial"/>
      <family val="2"/>
    </font>
    <font>
      <b/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FF0000"/>
      <name val="Arial Unicode MS"/>
      <family val="2"/>
      <charset val="134"/>
    </font>
    <font>
      <sz val="10"/>
      <color rgb="FFFF0000"/>
      <name val="宋体"/>
      <family val="3"/>
      <charset val="134"/>
    </font>
  </fonts>
  <fills count="4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4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</borders>
  <cellStyleXfs count="189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5" fillId="20" borderId="1" applyNumberFormat="0" applyAlignment="0" applyProtection="0"/>
    <xf numFmtId="0" fontId="15" fillId="3" borderId="0" applyNumberFormat="0" applyBorder="0" applyAlignment="0" applyProtection="0"/>
    <xf numFmtId="0" fontId="6" fillId="20" borderId="2" applyNumberFormat="0" applyAlignment="0" applyProtection="0"/>
    <xf numFmtId="0" fontId="31" fillId="0" borderId="0" applyNumberFormat="0" applyFill="0" applyBorder="0" applyAlignment="0" applyProtection="0"/>
    <xf numFmtId="0" fontId="22" fillId="21" borderId="3" applyNumberFormat="0" applyAlignment="0" applyProtection="0"/>
    <xf numFmtId="0" fontId="7" fillId="7" borderId="2" applyNumberFormat="0" applyAlignment="0" applyProtection="0"/>
    <xf numFmtId="0" fontId="8" fillId="0" borderId="4" applyNumberFormat="0" applyFill="0" applyAlignment="0" applyProtection="0"/>
    <xf numFmtId="0" fontId="9" fillId="0" borderId="0" applyNumberFormat="0" applyFill="0" applyBorder="0" applyAlignment="0" applyProtection="0"/>
    <xf numFmtId="176" fontId="14" fillId="0" borderId="0" applyFont="0" applyFill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32" fillId="0" borderId="5" applyNumberFormat="0" applyAlignment="0" applyProtection="0">
      <alignment horizontal="left" vertical="center"/>
    </xf>
    <xf numFmtId="0" fontId="32" fillId="0" borderId="6">
      <alignment horizontal="left" vertical="center"/>
    </xf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9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" fillId="22" borderId="0" applyNumberFormat="0" applyFont="0" applyBorder="0" applyAlignment="0" applyProtection="0"/>
    <xf numFmtId="0" fontId="14" fillId="22" borderId="0" applyNumberFormat="0" applyFont="0" applyBorder="0" applyAlignment="0" applyProtection="0"/>
    <xf numFmtId="0" fontId="14" fillId="22" borderId="0" applyNumberFormat="0" applyFont="0" applyBorder="0" applyAlignment="0" applyProtection="0"/>
    <xf numFmtId="0" fontId="14" fillId="22" borderId="0" applyNumberFormat="0" applyFont="0" applyBorder="0" applyAlignment="0" applyProtection="0"/>
    <xf numFmtId="0" fontId="14" fillId="22" borderId="0" applyNumberFormat="0" applyFont="0" applyBorder="0" applyAlignment="0" applyProtection="0"/>
    <xf numFmtId="0" fontId="14" fillId="22" borderId="0" applyNumberFormat="0" applyFont="0" applyBorder="0" applyAlignment="0" applyProtection="0"/>
    <xf numFmtId="0" fontId="14" fillId="22" borderId="0" applyNumberFormat="0" applyFont="0" applyBorder="0" applyAlignment="0" applyProtection="0"/>
    <xf numFmtId="0" fontId="14" fillId="22" borderId="0" applyNumberFormat="0" applyFont="0" applyBorder="0" applyAlignment="0" applyProtection="0"/>
    <xf numFmtId="0" fontId="14" fillId="22" borderId="0" applyNumberFormat="0" applyFont="0" applyBorder="0" applyAlignment="0" applyProtection="0"/>
    <xf numFmtId="0" fontId="14" fillId="22" borderId="0" applyNumberFormat="0" applyFont="0" applyBorder="0" applyAlignment="0" applyProtection="0"/>
    <xf numFmtId="0" fontId="14" fillId="22" borderId="0" applyNumberFormat="0" applyFont="0" applyBorder="0" applyAlignment="0" applyProtection="0"/>
    <xf numFmtId="0" fontId="35" fillId="22" borderId="0" applyNumberFormat="0" applyFont="0" applyBorder="0" applyAlignment="0" applyProtection="0"/>
    <xf numFmtId="0" fontId="35" fillId="22" borderId="0" applyNumberFormat="0" applyFont="0" applyBorder="0" applyAlignment="0" applyProtection="0"/>
    <xf numFmtId="0" fontId="11" fillId="23" borderId="11" applyNumberFormat="0" applyFont="0" applyBorder="0" applyAlignment="0" applyProtection="0">
      <alignment horizontal="center" vertical="center" wrapText="1"/>
    </xf>
    <xf numFmtId="0" fontId="12" fillId="0" borderId="11" applyNumberFormat="0" applyFont="0" applyBorder="0" applyAlignment="0" applyProtection="0">
      <alignment horizontal="center" vertical="center" wrapText="1"/>
    </xf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37" fillId="27" borderId="0" applyNumberFormat="0" applyBorder="0" applyAlignment="0" applyProtection="0"/>
    <xf numFmtId="37" fontId="33" fillId="0" borderId="0"/>
    <xf numFmtId="0" fontId="2" fillId="0" borderId="0"/>
    <xf numFmtId="0" fontId="35" fillId="0" borderId="0"/>
    <xf numFmtId="0" fontId="14" fillId="0" borderId="0"/>
    <xf numFmtId="0" fontId="14" fillId="0" borderId="0"/>
    <xf numFmtId="0" fontId="2" fillId="25" borderId="12" applyNumberFormat="0" applyFont="0" applyAlignment="0" applyProtection="0"/>
    <xf numFmtId="0" fontId="14" fillId="25" borderId="12" applyNumberFormat="0" applyFont="0" applyAlignment="0" applyProtection="0"/>
    <xf numFmtId="0" fontId="14" fillId="25" borderId="12" applyNumberFormat="0" applyFont="0" applyAlignment="0" applyProtection="0"/>
    <xf numFmtId="0" fontId="14" fillId="25" borderId="12" applyNumberFormat="0" applyFont="0" applyAlignment="0" applyProtection="0"/>
    <xf numFmtId="0" fontId="14" fillId="25" borderId="12" applyNumberFormat="0" applyFont="0" applyAlignment="0" applyProtection="0"/>
    <xf numFmtId="0" fontId="14" fillId="25" borderId="12" applyNumberFormat="0" applyFont="0" applyAlignment="0" applyProtection="0"/>
    <xf numFmtId="0" fontId="14" fillId="25" borderId="12" applyNumberFormat="0" applyFont="0" applyAlignment="0" applyProtection="0"/>
    <xf numFmtId="0" fontId="14" fillId="25" borderId="12" applyNumberFormat="0" applyFont="0" applyAlignment="0" applyProtection="0"/>
    <xf numFmtId="0" fontId="14" fillId="25" borderId="12" applyNumberFormat="0" applyFont="0" applyAlignment="0" applyProtection="0"/>
    <xf numFmtId="0" fontId="14" fillId="25" borderId="12" applyNumberFormat="0" applyFont="0" applyAlignment="0" applyProtection="0"/>
    <xf numFmtId="0" fontId="14" fillId="25" borderId="12" applyNumberFormat="0" applyFont="0" applyAlignment="0" applyProtection="0"/>
    <xf numFmtId="0" fontId="35" fillId="25" borderId="12" applyNumberFormat="0" applyFont="0" applyAlignment="0" applyProtection="0"/>
    <xf numFmtId="0" fontId="35" fillId="25" borderId="12" applyNumberFormat="0" applyFont="0" applyAlignment="0" applyProtection="0"/>
    <xf numFmtId="0" fontId="2" fillId="25" borderId="12" applyNumberFormat="0" applyFont="0" applyAlignment="0" applyProtection="0"/>
    <xf numFmtId="0" fontId="14" fillId="25" borderId="12" applyNumberFormat="0" applyFont="0" applyAlignment="0" applyProtection="0"/>
    <xf numFmtId="0" fontId="14" fillId="25" borderId="12" applyNumberFormat="0" applyFont="0" applyAlignment="0" applyProtection="0"/>
    <xf numFmtId="0" fontId="14" fillId="25" borderId="12" applyNumberFormat="0" applyFont="0" applyAlignment="0" applyProtection="0"/>
    <xf numFmtId="0" fontId="14" fillId="25" borderId="12" applyNumberFormat="0" applyFont="0" applyAlignment="0" applyProtection="0"/>
    <xf numFmtId="0" fontId="14" fillId="25" borderId="12" applyNumberFormat="0" applyFont="0" applyAlignment="0" applyProtection="0"/>
    <xf numFmtId="0" fontId="35" fillId="25" borderId="12" applyNumberFormat="0" applyFont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4" fillId="0" borderId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21" borderId="3" applyNumberFormat="0" applyAlignment="0" applyProtection="0"/>
    <xf numFmtId="0" fontId="22" fillId="21" borderId="3" applyNumberFormat="0" applyAlignment="0" applyProtection="0"/>
    <xf numFmtId="176" fontId="2" fillId="0" borderId="0" applyFont="0" applyFill="0" applyBorder="0" applyAlignment="0" applyProtection="0"/>
    <xf numFmtId="0" fontId="2" fillId="22" borderId="0" applyNumberFormat="0" applyFont="0" applyBorder="0" applyAlignment="0" applyProtection="0"/>
    <xf numFmtId="0" fontId="2" fillId="22" borderId="0" applyNumberFormat="0" applyFont="0" applyBorder="0" applyAlignment="0" applyProtection="0"/>
    <xf numFmtId="0" fontId="2" fillId="22" borderId="0" applyNumberFormat="0" applyFont="0" applyBorder="0" applyAlignment="0" applyProtection="0"/>
    <xf numFmtId="0" fontId="2" fillId="22" borderId="0" applyNumberFormat="0" applyFont="0" applyBorder="0" applyAlignment="0" applyProtection="0"/>
    <xf numFmtId="0" fontId="2" fillId="22" borderId="0" applyNumberFormat="0" applyFont="0" applyBorder="0" applyAlignment="0" applyProtection="0"/>
    <xf numFmtId="0" fontId="2" fillId="22" borderId="0" applyNumberFormat="0" applyFont="0" applyBorder="0" applyAlignment="0" applyProtection="0"/>
    <xf numFmtId="0" fontId="2" fillId="22" borderId="0" applyNumberFormat="0" applyFont="0" applyBorder="0" applyAlignment="0" applyProtection="0"/>
    <xf numFmtId="0" fontId="2" fillId="22" borderId="0" applyNumberFormat="0" applyFont="0" applyBorder="0" applyAlignment="0" applyProtection="0"/>
    <xf numFmtId="0" fontId="2" fillId="22" borderId="0" applyNumberFormat="0" applyFont="0" applyBorder="0" applyAlignment="0" applyProtection="0"/>
    <xf numFmtId="0" fontId="2" fillId="22" borderId="0" applyNumberFormat="0" applyFont="0" applyBorder="0" applyAlignment="0" applyProtection="0"/>
    <xf numFmtId="0" fontId="2" fillId="22" borderId="0" applyNumberFormat="0" applyFont="0" applyBorder="0" applyAlignment="0" applyProtection="0"/>
    <xf numFmtId="0" fontId="2" fillId="22" borderId="0" applyNumberFormat="0" applyFont="0" applyBorder="0" applyAlignment="0" applyProtection="0"/>
    <xf numFmtId="0" fontId="2" fillId="0" borderId="0"/>
    <xf numFmtId="0" fontId="2" fillId="0" borderId="0"/>
    <xf numFmtId="0" fontId="2" fillId="25" borderId="12" applyNumberFormat="0" applyFont="0" applyAlignment="0" applyProtection="0"/>
    <xf numFmtId="0" fontId="2" fillId="25" borderId="12" applyNumberFormat="0" applyFont="0" applyAlignment="0" applyProtection="0"/>
    <xf numFmtId="0" fontId="2" fillId="25" borderId="12" applyNumberFormat="0" applyFont="0" applyAlignment="0" applyProtection="0"/>
    <xf numFmtId="0" fontId="2" fillId="25" borderId="12" applyNumberFormat="0" applyFont="0" applyAlignment="0" applyProtection="0"/>
    <xf numFmtId="0" fontId="2" fillId="25" borderId="12" applyNumberFormat="0" applyFont="0" applyAlignment="0" applyProtection="0"/>
    <xf numFmtId="0" fontId="2" fillId="25" borderId="12" applyNumberFormat="0" applyFont="0" applyAlignment="0" applyProtection="0"/>
    <xf numFmtId="0" fontId="2" fillId="25" borderId="12" applyNumberFormat="0" applyFont="0" applyAlignment="0" applyProtection="0"/>
    <xf numFmtId="0" fontId="2" fillId="25" borderId="12" applyNumberFormat="0" applyFont="0" applyAlignment="0" applyProtection="0"/>
    <xf numFmtId="0" fontId="2" fillId="25" borderId="12" applyNumberFormat="0" applyFont="0" applyAlignment="0" applyProtection="0"/>
    <xf numFmtId="0" fontId="2" fillId="25" borderId="12" applyNumberFormat="0" applyFont="0" applyAlignment="0" applyProtection="0"/>
    <xf numFmtId="0" fontId="2" fillId="25" borderId="12" applyNumberFormat="0" applyFont="0" applyAlignment="0" applyProtection="0"/>
    <xf numFmtId="0" fontId="2" fillId="25" borderId="12" applyNumberFormat="0" applyFont="0" applyAlignment="0" applyProtection="0"/>
    <xf numFmtId="0" fontId="2" fillId="25" borderId="12" applyNumberFormat="0" applyFont="0" applyAlignment="0" applyProtection="0"/>
    <xf numFmtId="0" fontId="2" fillId="25" borderId="12" applyNumberFormat="0" applyFont="0" applyAlignment="0" applyProtection="0"/>
    <xf numFmtId="0" fontId="2" fillId="25" borderId="12" applyNumberFormat="0" applyFont="0" applyAlignment="0" applyProtection="0"/>
    <xf numFmtId="0" fontId="2" fillId="25" borderId="12" applyNumberFormat="0" applyFont="0" applyAlignment="0" applyProtection="0"/>
    <xf numFmtId="0" fontId="2" fillId="25" borderId="12" applyNumberFormat="0" applyFont="0" applyAlignment="0" applyProtection="0"/>
    <xf numFmtId="0" fontId="2" fillId="25" borderId="12" applyNumberFormat="0" applyFont="0" applyAlignment="0" applyProtection="0"/>
    <xf numFmtId="0" fontId="2" fillId="0" borderId="0"/>
  </cellStyleXfs>
  <cellXfs count="201">
    <xf numFmtId="0" fontId="0" fillId="0" borderId="0" xfId="0"/>
    <xf numFmtId="0" fontId="0" fillId="0" borderId="11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0" fillId="26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26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6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14" fillId="0" borderId="0" xfId="0" applyFont="1" applyFill="1" applyAlignment="1">
      <alignment horizontal="left" vertical="center"/>
    </xf>
    <xf numFmtId="0" fontId="0" fillId="29" borderId="0" xfId="0" applyFill="1" applyAlignment="1">
      <alignment horizontal="left" vertical="center"/>
    </xf>
    <xf numFmtId="0" fontId="25" fillId="26" borderId="0" xfId="0" applyFont="1" applyFill="1" applyAlignment="1">
      <alignment vertical="center"/>
    </xf>
    <xf numFmtId="0" fontId="34" fillId="26" borderId="11" xfId="0" applyFont="1" applyFill="1" applyBorder="1" applyAlignment="1">
      <alignment vertical="center" wrapText="1"/>
    </xf>
    <xf numFmtId="0" fontId="25" fillId="26" borderId="0" xfId="0" applyFont="1" applyFill="1" applyAlignment="1">
      <alignment horizontal="left" vertical="center"/>
    </xf>
    <xf numFmtId="0" fontId="30" fillId="26" borderId="0" xfId="0" applyFont="1" applyFill="1" applyAlignment="1">
      <alignment horizontal="left" vertical="center"/>
    </xf>
    <xf numFmtId="0" fontId="14" fillId="26" borderId="0" xfId="0" applyFont="1" applyFill="1" applyAlignment="1">
      <alignment horizontal="left" vertical="center"/>
    </xf>
    <xf numFmtId="0" fontId="25" fillId="26" borderId="11" xfId="0" applyFont="1" applyFill="1" applyBorder="1" applyAlignment="1">
      <alignment horizontal="center" vertical="center"/>
    </xf>
    <xf numFmtId="0" fontId="14" fillId="0" borderId="11" xfId="0" quotePrefix="1" applyFont="1" applyFill="1" applyBorder="1" applyAlignment="1">
      <alignment horizontal="center" vertical="center"/>
    </xf>
    <xf numFmtId="14" fontId="0" fillId="0" borderId="11" xfId="0" applyNumberFormat="1" applyFill="1" applyBorder="1" applyAlignment="1">
      <alignment horizontal="center" vertical="center"/>
    </xf>
    <xf numFmtId="0" fontId="0" fillId="0" borderId="11" xfId="0" applyFill="1" applyBorder="1" applyAlignment="1">
      <alignment horizontal="left" vertical="center"/>
    </xf>
    <xf numFmtId="0" fontId="14" fillId="0" borderId="11" xfId="0" applyFont="1" applyFill="1" applyBorder="1" applyAlignment="1">
      <alignment horizontal="left" vertical="center" wrapText="1"/>
    </xf>
    <xf numFmtId="0" fontId="14" fillId="0" borderId="11" xfId="0" applyFont="1" applyFill="1" applyBorder="1" applyAlignment="1">
      <alignment horizontal="left" vertical="center"/>
    </xf>
    <xf numFmtId="14" fontId="0" fillId="0" borderId="11" xfId="0" applyNumberFormat="1" applyFill="1" applyBorder="1" applyAlignment="1">
      <alignment horizontal="center" vertical="center" wrapText="1"/>
    </xf>
    <xf numFmtId="0" fontId="0" fillId="0" borderId="11" xfId="0" applyFill="1" applyBorder="1" applyAlignment="1">
      <alignment horizontal="left" vertical="center" wrapText="1"/>
    </xf>
    <xf numFmtId="14" fontId="14" fillId="0" borderId="11" xfId="0" applyNumberFormat="1" applyFont="1" applyFill="1" applyBorder="1" applyAlignment="1">
      <alignment horizontal="center" vertical="center" wrapText="1"/>
    </xf>
    <xf numFmtId="0" fontId="0" fillId="28" borderId="0" xfId="0" applyFill="1" applyAlignment="1">
      <alignment vertical="center"/>
    </xf>
    <xf numFmtId="0" fontId="0" fillId="0" borderId="11" xfId="0" applyFont="1" applyFill="1" applyBorder="1" applyAlignment="1">
      <alignment horizontal="left" vertical="top" wrapText="1"/>
    </xf>
    <xf numFmtId="0" fontId="0" fillId="26" borderId="0" xfId="0" applyFill="1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28" borderId="17" xfId="0" applyFont="1" applyFill="1" applyBorder="1" applyAlignment="1">
      <alignment vertical="center"/>
    </xf>
    <xf numFmtId="0" fontId="0" fillId="28" borderId="17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vertical="center"/>
    </xf>
    <xf numFmtId="0" fontId="0" fillId="0" borderId="17" xfId="0" applyFont="1" applyFill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2" fillId="28" borderId="17" xfId="0" applyFont="1" applyFill="1" applyBorder="1" applyAlignment="1">
      <alignment vertical="center"/>
    </xf>
    <xf numFmtId="0" fontId="0" fillId="28" borderId="17" xfId="0" applyFill="1" applyBorder="1" applyAlignment="1">
      <alignment horizontal="center" vertical="center"/>
    </xf>
    <xf numFmtId="0" fontId="0" fillId="0" borderId="17" xfId="0" applyFont="1" applyFill="1" applyBorder="1" applyAlignment="1">
      <alignment horizontal="left" vertical="center" wrapText="1"/>
    </xf>
    <xf numFmtId="14" fontId="0" fillId="0" borderId="17" xfId="0" applyNumberFormat="1" applyFont="1" applyFill="1" applyBorder="1" applyAlignment="1">
      <alignment horizontal="left" vertical="center" wrapText="1"/>
    </xf>
    <xf numFmtId="0" fontId="0" fillId="28" borderId="23" xfId="0" applyFont="1" applyFill="1" applyBorder="1" applyAlignment="1">
      <alignment vertical="center"/>
    </xf>
    <xf numFmtId="0" fontId="0" fillId="28" borderId="17" xfId="0" applyFont="1" applyFill="1" applyBorder="1" applyAlignment="1" applyProtection="1">
      <alignment horizontal="center" vertical="center"/>
      <protection locked="0"/>
    </xf>
    <xf numFmtId="0" fontId="2" fillId="28" borderId="17" xfId="0" applyFont="1" applyFill="1" applyBorder="1" applyAlignment="1">
      <alignment horizontal="center" vertical="center"/>
    </xf>
    <xf numFmtId="0" fontId="0" fillId="28" borderId="17" xfId="0" applyFont="1" applyFill="1" applyBorder="1" applyAlignment="1">
      <alignment vertical="center" wrapText="1"/>
    </xf>
    <xf numFmtId="0" fontId="0" fillId="28" borderId="23" xfId="0" applyFill="1" applyBorder="1" applyAlignment="1">
      <alignment vertical="center"/>
    </xf>
    <xf numFmtId="0" fontId="0" fillId="28" borderId="17" xfId="0" applyFill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38" fillId="28" borderId="25" xfId="0" applyFont="1" applyFill="1" applyBorder="1" applyAlignment="1">
      <alignment horizontal="left" vertical="center"/>
    </xf>
    <xf numFmtId="0" fontId="38" fillId="28" borderId="26" xfId="0" applyFont="1" applyFill="1" applyBorder="1" applyAlignment="1">
      <alignment vertical="center"/>
    </xf>
    <xf numFmtId="0" fontId="38" fillId="28" borderId="26" xfId="0" applyFont="1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16" xfId="0" applyFill="1" applyBorder="1" applyAlignment="1">
      <alignment vertical="center"/>
    </xf>
    <xf numFmtId="0" fontId="0" fillId="0" borderId="14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15" xfId="0" applyFill="1" applyBorder="1" applyAlignment="1">
      <alignment horizontal="center" vertical="center"/>
    </xf>
    <xf numFmtId="0" fontId="0" fillId="0" borderId="13" xfId="0" applyFill="1" applyBorder="1" applyAlignment="1">
      <alignment vertical="center"/>
    </xf>
    <xf numFmtId="0" fontId="36" fillId="0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26" fillId="0" borderId="0" xfId="0" applyFont="1" applyFill="1" applyAlignment="1">
      <alignment horizontal="left" vertical="center"/>
    </xf>
    <xf numFmtId="0" fontId="36" fillId="0" borderId="0" xfId="0" applyFont="1" applyFill="1" applyAlignment="1">
      <alignment horizontal="left" vertical="center"/>
    </xf>
    <xf numFmtId="0" fontId="0" fillId="28" borderId="0" xfId="0" applyFill="1" applyAlignment="1">
      <alignment horizontal="left" vertical="center"/>
    </xf>
    <xf numFmtId="0" fontId="0" fillId="0" borderId="16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26" xfId="0" applyFont="1" applyFill="1" applyBorder="1" applyAlignment="1">
      <alignment horizontal="center" vertical="center"/>
    </xf>
    <xf numFmtId="0" fontId="0" fillId="0" borderId="36" xfId="0" applyFont="1" applyFill="1" applyBorder="1" applyAlignment="1">
      <alignment horizontal="center" vertical="center"/>
    </xf>
    <xf numFmtId="0" fontId="36" fillId="0" borderId="36" xfId="0" applyFont="1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37" xfId="0" applyFont="1" applyFill="1" applyBorder="1" applyAlignment="1">
      <alignment horizontal="center" vertical="center"/>
    </xf>
    <xf numFmtId="0" fontId="25" fillId="26" borderId="23" xfId="0" applyFont="1" applyFill="1" applyBorder="1" applyAlignment="1">
      <alignment horizontal="right" vertical="center"/>
    </xf>
    <xf numFmtId="0" fontId="25" fillId="34" borderId="17" xfId="0" applyFont="1" applyFill="1" applyBorder="1" applyAlignment="1">
      <alignment vertical="center" wrapText="1"/>
    </xf>
    <xf numFmtId="0" fontId="0" fillId="0" borderId="30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0" fontId="25" fillId="34" borderId="24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center" vertical="center"/>
    </xf>
    <xf numFmtId="0" fontId="36" fillId="0" borderId="24" xfId="0" applyFont="1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0" borderId="27" xfId="0" applyFont="1" applyFill="1" applyBorder="1" applyAlignment="1">
      <alignment horizontal="center" vertical="center"/>
    </xf>
    <xf numFmtId="0" fontId="25" fillId="36" borderId="23" xfId="0" applyFont="1" applyFill="1" applyBorder="1" applyAlignment="1">
      <alignment horizontal="left" vertical="center"/>
    </xf>
    <xf numFmtId="0" fontId="25" fillId="36" borderId="17" xfId="0" applyFont="1" applyFill="1" applyBorder="1" applyAlignment="1">
      <alignment horizontal="left" vertical="center"/>
    </xf>
    <xf numFmtId="0" fontId="25" fillId="36" borderId="17" xfId="0" applyFont="1" applyFill="1" applyBorder="1" applyAlignment="1">
      <alignment horizontal="center" vertical="center"/>
    </xf>
    <xf numFmtId="0" fontId="25" fillId="36" borderId="17" xfId="0" applyFont="1" applyFill="1" applyBorder="1" applyAlignment="1">
      <alignment horizontal="center" vertical="center" wrapText="1"/>
    </xf>
    <xf numFmtId="0" fontId="32" fillId="0" borderId="0" xfId="0" applyFont="1" applyFill="1" applyAlignment="1">
      <alignment vertical="center"/>
    </xf>
    <xf numFmtId="0" fontId="32" fillId="0" borderId="0" xfId="0" applyFont="1" applyFill="1" applyAlignment="1">
      <alignment horizontal="left" vertical="center"/>
    </xf>
    <xf numFmtId="0" fontId="25" fillId="37" borderId="17" xfId="0" applyFont="1" applyFill="1" applyBorder="1" applyAlignment="1">
      <alignment horizontal="center" vertical="center" wrapText="1"/>
    </xf>
    <xf numFmtId="0" fontId="44" fillId="28" borderId="17" xfId="0" applyFont="1" applyFill="1" applyBorder="1" applyAlignment="1">
      <alignment horizontal="left" vertical="center"/>
    </xf>
    <xf numFmtId="14" fontId="14" fillId="0" borderId="11" xfId="0" applyNumberFormat="1" applyFont="1" applyFill="1" applyBorder="1" applyAlignment="1">
      <alignment horizontal="center" vertical="top" wrapText="1"/>
    </xf>
    <xf numFmtId="0" fontId="44" fillId="0" borderId="0" xfId="0" applyFont="1" applyFill="1" applyBorder="1" applyAlignment="1">
      <alignment horizontal="left" vertical="center"/>
    </xf>
    <xf numFmtId="0" fontId="44" fillId="0" borderId="16" xfId="0" applyFont="1" applyFill="1" applyBorder="1" applyAlignment="1">
      <alignment vertical="center"/>
    </xf>
    <xf numFmtId="0" fontId="44" fillId="0" borderId="0" xfId="0" applyFont="1" applyFill="1" applyBorder="1" applyAlignment="1">
      <alignment vertical="center"/>
    </xf>
    <xf numFmtId="0" fontId="44" fillId="0" borderId="13" xfId="0" applyFont="1" applyFill="1" applyBorder="1" applyAlignment="1">
      <alignment vertical="center"/>
    </xf>
    <xf numFmtId="0" fontId="45" fillId="36" borderId="17" xfId="0" applyFont="1" applyFill="1" applyBorder="1" applyAlignment="1">
      <alignment horizontal="center" vertical="center" wrapText="1"/>
    </xf>
    <xf numFmtId="0" fontId="44" fillId="0" borderId="17" xfId="0" applyFont="1" applyFill="1" applyBorder="1" applyAlignment="1">
      <alignment vertical="center" wrapText="1"/>
    </xf>
    <xf numFmtId="0" fontId="44" fillId="0" borderId="17" xfId="0" applyFont="1" applyFill="1" applyBorder="1" applyAlignment="1">
      <alignment vertical="center"/>
    </xf>
    <xf numFmtId="0" fontId="44" fillId="28" borderId="17" xfId="0" applyFont="1" applyFill="1" applyBorder="1" applyAlignment="1">
      <alignment vertical="center" wrapText="1"/>
    </xf>
    <xf numFmtId="0" fontId="44" fillId="28" borderId="17" xfId="0" applyFont="1" applyFill="1" applyBorder="1" applyAlignment="1">
      <alignment horizontal="left" vertical="center" wrapText="1"/>
    </xf>
    <xf numFmtId="0" fontId="46" fillId="28" borderId="17" xfId="0" applyFont="1" applyFill="1" applyBorder="1" applyAlignment="1">
      <alignment vertical="center" wrapText="1"/>
    </xf>
    <xf numFmtId="0" fontId="46" fillId="28" borderId="17" xfId="0" applyFont="1" applyFill="1" applyBorder="1" applyAlignment="1">
      <alignment horizontal="left" vertical="center" wrapText="1"/>
    </xf>
    <xf numFmtId="0" fontId="46" fillId="28" borderId="17" xfId="0" applyFont="1" applyFill="1" applyBorder="1" applyAlignment="1">
      <alignment horizontal="left" vertical="center"/>
    </xf>
    <xf numFmtId="0" fontId="44" fillId="28" borderId="17" xfId="0" applyFont="1" applyFill="1" applyBorder="1" applyAlignment="1">
      <alignment horizontal="left" vertical="top" wrapText="1"/>
    </xf>
    <xf numFmtId="0" fontId="44" fillId="28" borderId="17" xfId="0" applyFont="1" applyFill="1" applyBorder="1" applyAlignment="1">
      <alignment vertical="center"/>
    </xf>
    <xf numFmtId="0" fontId="47" fillId="28" borderId="17" xfId="0" applyFont="1" applyFill="1" applyBorder="1" applyAlignment="1">
      <alignment horizontal="left" vertical="center" wrapText="1"/>
    </xf>
    <xf numFmtId="0" fontId="46" fillId="28" borderId="26" xfId="0" applyFont="1" applyFill="1" applyBorder="1" applyAlignment="1">
      <alignment horizontal="left" vertical="center"/>
    </xf>
    <xf numFmtId="0" fontId="44" fillId="28" borderId="17" xfId="0" applyFont="1" applyFill="1" applyBorder="1" applyAlignment="1">
      <alignment horizontal="left" vertical="center"/>
    </xf>
    <xf numFmtId="0" fontId="48" fillId="28" borderId="0" xfId="0" applyFont="1" applyFill="1" applyAlignment="1">
      <alignment vertical="center"/>
    </xf>
    <xf numFmtId="0" fontId="44" fillId="28" borderId="33" xfId="0" applyFont="1" applyFill="1" applyBorder="1" applyAlignment="1">
      <alignment vertical="center"/>
    </xf>
    <xf numFmtId="0" fontId="44" fillId="28" borderId="34" xfId="0" applyFont="1" applyFill="1" applyBorder="1" applyAlignment="1">
      <alignment vertical="center"/>
    </xf>
    <xf numFmtId="0" fontId="36" fillId="0" borderId="11" xfId="0" applyFont="1" applyFill="1" applyBorder="1" applyAlignment="1">
      <alignment horizontal="left" vertical="top" wrapText="1"/>
    </xf>
    <xf numFmtId="0" fontId="0" fillId="0" borderId="11" xfId="0" quotePrefix="1" applyFont="1" applyFill="1" applyBorder="1" applyAlignment="1">
      <alignment horizontal="center" vertical="top"/>
    </xf>
    <xf numFmtId="0" fontId="0" fillId="0" borderId="11" xfId="0" quotePrefix="1" applyFont="1" applyFill="1" applyBorder="1" applyAlignment="1">
      <alignment horizontal="center" vertical="center"/>
    </xf>
    <xf numFmtId="0" fontId="36" fillId="0" borderId="11" xfId="0" applyFont="1" applyFill="1" applyBorder="1" applyAlignment="1">
      <alignment horizontal="left" vertical="center" wrapText="1"/>
    </xf>
    <xf numFmtId="0" fontId="0" fillId="0" borderId="11" xfId="0" applyFont="1" applyFill="1" applyBorder="1" applyAlignment="1">
      <alignment horizontal="left" vertical="center" wrapText="1"/>
    </xf>
    <xf numFmtId="0" fontId="14" fillId="0" borderId="17" xfId="0" quotePrefix="1" applyFont="1" applyFill="1" applyBorder="1" applyAlignment="1">
      <alignment horizontal="center" vertical="center"/>
    </xf>
    <xf numFmtId="14" fontId="14" fillId="0" borderId="17" xfId="0" applyNumberFormat="1" applyFont="1" applyFill="1" applyBorder="1" applyAlignment="1">
      <alignment horizontal="center" vertical="center" wrapText="1"/>
    </xf>
    <xf numFmtId="0" fontId="14" fillId="0" borderId="17" xfId="0" applyFont="1" applyFill="1" applyBorder="1" applyAlignment="1">
      <alignment horizontal="left" vertical="center" wrapText="1"/>
    </xf>
    <xf numFmtId="0" fontId="36" fillId="0" borderId="17" xfId="0" applyFont="1" applyFill="1" applyBorder="1" applyAlignment="1">
      <alignment horizontal="left" vertical="center" wrapText="1"/>
    </xf>
    <xf numFmtId="0" fontId="0" fillId="0" borderId="19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14" fontId="0" fillId="0" borderId="15" xfId="0" applyNumberFormat="1" applyFont="1" applyFill="1" applyBorder="1" applyAlignment="1">
      <alignment horizontal="left" vertical="center" wrapText="1"/>
    </xf>
    <xf numFmtId="0" fontId="0" fillId="28" borderId="38" xfId="0" applyFont="1" applyFill="1" applyBorder="1" applyAlignment="1">
      <alignment vertical="center"/>
    </xf>
    <xf numFmtId="0" fontId="0" fillId="28" borderId="17" xfId="0" applyFont="1" applyFill="1" applyBorder="1" applyAlignment="1" applyProtection="1">
      <alignment horizontal="center" vertical="center"/>
    </xf>
    <xf numFmtId="49" fontId="0" fillId="28" borderId="17" xfId="0" applyNumberFormat="1" applyFont="1" applyFill="1" applyBorder="1" applyAlignment="1">
      <alignment vertical="center"/>
    </xf>
    <xf numFmtId="49" fontId="0" fillId="28" borderId="23" xfId="0" applyNumberFormat="1" applyFont="1" applyFill="1" applyBorder="1" applyAlignment="1">
      <alignment vertical="center"/>
    </xf>
    <xf numFmtId="0" fontId="0" fillId="28" borderId="23" xfId="0" applyFont="1" applyFill="1" applyBorder="1" applyAlignment="1">
      <alignment vertical="center" wrapText="1"/>
    </xf>
    <xf numFmtId="0" fontId="0" fillId="33" borderId="17" xfId="0" applyFont="1" applyFill="1" applyBorder="1" applyAlignment="1">
      <alignment horizontal="center" vertical="center"/>
    </xf>
    <xf numFmtId="0" fontId="0" fillId="33" borderId="23" xfId="0" applyFill="1" applyBorder="1" applyAlignment="1">
      <alignment vertical="center"/>
    </xf>
    <xf numFmtId="0" fontId="0" fillId="33" borderId="17" xfId="0" applyFill="1" applyBorder="1" applyAlignment="1">
      <alignment vertical="center"/>
    </xf>
    <xf numFmtId="0" fontId="0" fillId="0" borderId="11" xfId="0" applyFill="1" applyBorder="1" applyAlignment="1">
      <alignment horizontal="left" vertical="top" wrapText="1"/>
    </xf>
    <xf numFmtId="0" fontId="48" fillId="33" borderId="17" xfId="0" applyFont="1" applyFill="1" applyBorder="1" applyAlignment="1">
      <alignment horizontal="center" vertical="center"/>
    </xf>
    <xf numFmtId="0" fontId="48" fillId="33" borderId="17" xfId="0" applyFont="1" applyFill="1" applyBorder="1" applyAlignment="1">
      <alignment horizontal="left" vertical="center"/>
    </xf>
    <xf numFmtId="0" fontId="48" fillId="33" borderId="17" xfId="0" applyFont="1" applyFill="1" applyBorder="1" applyAlignment="1">
      <alignment vertical="center"/>
    </xf>
    <xf numFmtId="0" fontId="0" fillId="0" borderId="0" xfId="0" applyAlignment="1">
      <alignment horizontal="left"/>
    </xf>
    <xf numFmtId="0" fontId="25" fillId="0" borderId="0" xfId="0" applyFont="1"/>
    <xf numFmtId="0" fontId="50" fillId="0" borderId="0" xfId="0" applyFont="1"/>
    <xf numFmtId="0" fontId="25" fillId="0" borderId="17" xfId="0" applyFont="1" applyBorder="1" applyAlignment="1">
      <alignment horizontal="center"/>
    </xf>
    <xf numFmtId="0" fontId="0" fillId="0" borderId="17" xfId="0" applyBorder="1" applyAlignment="1">
      <alignment horizontal="left"/>
    </xf>
    <xf numFmtId="0" fontId="48" fillId="33" borderId="17" xfId="0" applyFont="1" applyFill="1" applyBorder="1" applyAlignment="1">
      <alignment horizontal="left"/>
    </xf>
    <xf numFmtId="0" fontId="54" fillId="0" borderId="0" xfId="0" applyFont="1"/>
    <xf numFmtId="0" fontId="55" fillId="0" borderId="0" xfId="0" applyFont="1"/>
    <xf numFmtId="0" fontId="55" fillId="0" borderId="0" xfId="0" applyFont="1" applyAlignment="1">
      <alignment horizontal="right"/>
    </xf>
    <xf numFmtId="0" fontId="55" fillId="0" borderId="0" xfId="0" applyFont="1" applyAlignment="1">
      <alignment horizontal="left"/>
    </xf>
    <xf numFmtId="0" fontId="55" fillId="0" borderId="0" xfId="0" applyFont="1" applyBorder="1"/>
    <xf numFmtId="0" fontId="25" fillId="0" borderId="17" xfId="0" applyNumberFormat="1" applyFont="1" applyBorder="1" applyAlignment="1">
      <alignment horizontal="center"/>
    </xf>
    <xf numFmtId="0" fontId="0" fillId="0" borderId="17" xfId="0" applyNumberFormat="1" applyBorder="1" applyAlignment="1">
      <alignment horizontal="center"/>
    </xf>
    <xf numFmtId="0" fontId="48" fillId="33" borderId="17" xfId="0" applyNumberFormat="1" applyFont="1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16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0" fillId="28" borderId="26" xfId="0" applyFont="1" applyFill="1" applyBorder="1" applyAlignment="1">
      <alignment horizontal="center" vertical="center"/>
    </xf>
    <xf numFmtId="0" fontId="48" fillId="33" borderId="17" xfId="0" applyFont="1" applyFill="1" applyBorder="1" applyAlignment="1" applyProtection="1">
      <alignment horizontal="center" vertical="center"/>
    </xf>
    <xf numFmtId="0" fontId="48" fillId="33" borderId="0" xfId="0" applyFont="1" applyFill="1" applyAlignment="1">
      <alignment vertical="center"/>
    </xf>
    <xf numFmtId="0" fontId="48" fillId="33" borderId="23" xfId="0" applyFont="1" applyFill="1" applyBorder="1" applyAlignment="1">
      <alignment vertical="center"/>
    </xf>
    <xf numFmtId="0" fontId="58" fillId="33" borderId="17" xfId="0" applyFont="1" applyFill="1" applyBorder="1" applyAlignment="1">
      <alignment horizontal="left" vertical="center"/>
    </xf>
    <xf numFmtId="0" fontId="48" fillId="33" borderId="36" xfId="0" applyFont="1" applyFill="1" applyBorder="1" applyAlignment="1">
      <alignment horizontal="center" vertical="center"/>
    </xf>
    <xf numFmtId="0" fontId="48" fillId="33" borderId="24" xfId="0" applyFont="1" applyFill="1" applyBorder="1" applyAlignment="1">
      <alignment horizontal="center" vertical="center"/>
    </xf>
    <xf numFmtId="0" fontId="48" fillId="33" borderId="0" xfId="0" applyFont="1" applyFill="1" applyAlignment="1">
      <alignment horizontal="left" vertical="center"/>
    </xf>
    <xf numFmtId="0" fontId="48" fillId="33" borderId="38" xfId="0" applyFont="1" applyFill="1" applyBorder="1" applyAlignment="1">
      <alignment vertical="center"/>
    </xf>
    <xf numFmtId="0" fontId="0" fillId="28" borderId="17" xfId="0" applyNumberFormat="1" applyFill="1" applyBorder="1" applyAlignment="1">
      <alignment horizontal="center"/>
    </xf>
    <xf numFmtId="0" fontId="0" fillId="28" borderId="17" xfId="0" applyFill="1" applyBorder="1" applyAlignment="1">
      <alignment horizontal="left"/>
    </xf>
    <xf numFmtId="0" fontId="0" fillId="28" borderId="0" xfId="0" applyFill="1"/>
    <xf numFmtId="0" fontId="53" fillId="33" borderId="17" xfId="0" applyFont="1" applyFill="1" applyBorder="1" applyAlignment="1">
      <alignment horizontal="left" vertical="top"/>
    </xf>
    <xf numFmtId="0" fontId="48" fillId="33" borderId="17" xfId="0" applyFont="1" applyFill="1" applyBorder="1" applyAlignment="1">
      <alignment horizontal="left" vertical="top"/>
    </xf>
    <xf numFmtId="0" fontId="24" fillId="26" borderId="20" xfId="0" applyFont="1" applyFill="1" applyBorder="1" applyAlignment="1">
      <alignment horizontal="left" vertical="center"/>
    </xf>
    <xf numFmtId="0" fontId="24" fillId="26" borderId="21" xfId="0" applyFont="1" applyFill="1" applyBorder="1" applyAlignment="1">
      <alignment horizontal="left" vertical="center"/>
    </xf>
    <xf numFmtId="0" fontId="24" fillId="26" borderId="35" xfId="0" applyFont="1" applyFill="1" applyBorder="1" applyAlignment="1">
      <alignment horizontal="left" vertical="center"/>
    </xf>
    <xf numFmtId="0" fontId="24" fillId="26" borderId="22" xfId="0" applyFont="1" applyFill="1" applyBorder="1" applyAlignment="1">
      <alignment horizontal="left" vertical="center"/>
    </xf>
    <xf numFmtId="0" fontId="39" fillId="0" borderId="28" xfId="0" applyFont="1" applyFill="1" applyBorder="1" applyAlignment="1">
      <alignment horizontal="left" vertical="center"/>
    </xf>
    <xf numFmtId="0" fontId="39" fillId="0" borderId="18" xfId="0" applyFont="1" applyFill="1" applyBorder="1" applyAlignment="1">
      <alignment horizontal="left" vertical="center"/>
    </xf>
    <xf numFmtId="0" fontId="39" fillId="0" borderId="29" xfId="0" applyFont="1" applyFill="1" applyBorder="1" applyAlignment="1">
      <alignment horizontal="left" vertical="center"/>
    </xf>
    <xf numFmtId="0" fontId="32" fillId="33" borderId="17" xfId="0" applyFont="1" applyFill="1" applyBorder="1" applyAlignment="1">
      <alignment horizontal="center" vertical="center" wrapText="1"/>
    </xf>
    <xf numFmtId="0" fontId="32" fillId="35" borderId="36" xfId="0" applyFont="1" applyFill="1" applyBorder="1" applyAlignment="1">
      <alignment horizontal="center" vertical="center" wrapText="1"/>
    </xf>
    <xf numFmtId="0" fontId="32" fillId="35" borderId="29" xfId="0" applyFont="1" applyFill="1" applyBorder="1" applyAlignment="1">
      <alignment horizontal="center" vertical="center" wrapText="1"/>
    </xf>
    <xf numFmtId="0" fontId="26" fillId="26" borderId="28" xfId="0" applyFont="1" applyFill="1" applyBorder="1" applyAlignment="1">
      <alignment horizontal="left" vertical="center"/>
    </xf>
    <xf numFmtId="0" fontId="26" fillId="26" borderId="18" xfId="0" applyFont="1" applyFill="1" applyBorder="1" applyAlignment="1">
      <alignment horizontal="left" vertical="center"/>
    </xf>
    <xf numFmtId="0" fontId="26" fillId="26" borderId="29" xfId="0" applyFont="1" applyFill="1" applyBorder="1" applyAlignment="1">
      <alignment horizontal="left" vertical="center"/>
    </xf>
    <xf numFmtId="0" fontId="44" fillId="0" borderId="33" xfId="0" applyFont="1" applyFill="1" applyBorder="1" applyAlignment="1">
      <alignment horizontal="left" vertical="center" wrapText="1"/>
    </xf>
    <xf numFmtId="0" fontId="44" fillId="0" borderId="34" xfId="0" applyFont="1" applyFill="1" applyBorder="1" applyAlignment="1">
      <alignment horizontal="left" vertical="center" wrapText="1"/>
    </xf>
    <xf numFmtId="0" fontId="44" fillId="0" borderId="33" xfId="0" applyFont="1" applyFill="1" applyBorder="1" applyAlignment="1">
      <alignment horizontal="left" vertical="center"/>
    </xf>
    <xf numFmtId="0" fontId="44" fillId="0" borderId="34" xfId="0" applyFont="1" applyFill="1" applyBorder="1" applyAlignment="1">
      <alignment horizontal="left" vertical="center"/>
    </xf>
    <xf numFmtId="0" fontId="44" fillId="0" borderId="17" xfId="0" applyFont="1" applyFill="1" applyBorder="1" applyAlignment="1">
      <alignment horizontal="left" vertical="center" wrapText="1"/>
    </xf>
    <xf numFmtId="0" fontId="44" fillId="0" borderId="17" xfId="0" applyFont="1" applyFill="1" applyBorder="1" applyAlignment="1">
      <alignment horizontal="left" vertical="center"/>
    </xf>
    <xf numFmtId="0" fontId="32" fillId="31" borderId="23" xfId="0" applyFont="1" applyFill="1" applyBorder="1" applyAlignment="1">
      <alignment horizontal="center" vertical="center"/>
    </xf>
    <xf numFmtId="0" fontId="32" fillId="31" borderId="17" xfId="0" applyFont="1" applyFill="1" applyBorder="1" applyAlignment="1">
      <alignment horizontal="center" vertical="center"/>
    </xf>
    <xf numFmtId="0" fontId="26" fillId="26" borderId="39" xfId="0" applyFont="1" applyFill="1" applyBorder="1" applyAlignment="1">
      <alignment horizontal="left" vertical="center"/>
    </xf>
    <xf numFmtId="0" fontId="26" fillId="26" borderId="16" xfId="0" applyFont="1" applyFill="1" applyBorder="1" applyAlignment="1">
      <alignment horizontal="left" vertical="center"/>
    </xf>
    <xf numFmtId="0" fontId="48" fillId="33" borderId="17" xfId="0" applyFont="1" applyFill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7" xfId="0" applyFont="1" applyBorder="1" applyAlignment="1">
      <alignment horizontal="left" vertical="top"/>
    </xf>
    <xf numFmtId="0" fontId="43" fillId="38" borderId="17" xfId="0" applyFont="1" applyFill="1" applyBorder="1" applyAlignment="1">
      <alignment horizontal="center"/>
    </xf>
    <xf numFmtId="0" fontId="43" fillId="30" borderId="17" xfId="0" applyFont="1" applyFill="1" applyBorder="1" applyAlignment="1">
      <alignment horizontal="center"/>
    </xf>
    <xf numFmtId="0" fontId="43" fillId="32" borderId="17" xfId="0" applyFont="1" applyFill="1" applyBorder="1" applyAlignment="1">
      <alignment horizontal="center"/>
    </xf>
    <xf numFmtId="0" fontId="0" fillId="32" borderId="17" xfId="0" applyFill="1" applyBorder="1" applyAlignment="1">
      <alignment horizontal="center"/>
    </xf>
    <xf numFmtId="0" fontId="49" fillId="39" borderId="17" xfId="0" applyFont="1" applyFill="1" applyBorder="1" applyAlignment="1">
      <alignment horizontal="center" wrapText="1"/>
    </xf>
  </cellXfs>
  <cellStyles count="189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20% - Akzent1" xfId="7"/>
    <cellStyle name="20% - Akzent1 2" xfId="8"/>
    <cellStyle name="20% - Akzent2" xfId="9"/>
    <cellStyle name="20% - Akzent2 2" xfId="10"/>
    <cellStyle name="20% - Akzent3" xfId="11"/>
    <cellStyle name="20% - Akzent3 2" xfId="12"/>
    <cellStyle name="20% - Akzent4" xfId="13"/>
    <cellStyle name="20% - Akzent4 2" xfId="14"/>
    <cellStyle name="20% - Akzent5" xfId="15"/>
    <cellStyle name="20% - Akzent5 2" xfId="16"/>
    <cellStyle name="20% - Akzent6" xfId="17"/>
    <cellStyle name="20% - Akzent6 2" xfId="18"/>
    <cellStyle name="40% - Accent1" xfId="19"/>
    <cellStyle name="40% - Accent2" xfId="20"/>
    <cellStyle name="40% - Accent3" xfId="21"/>
    <cellStyle name="40% - Accent4" xfId="22"/>
    <cellStyle name="40% - Accent5" xfId="23"/>
    <cellStyle name="40% - Accent6" xfId="24"/>
    <cellStyle name="40% - Akzent1" xfId="25"/>
    <cellStyle name="40% - Akzent1 2" xfId="26"/>
    <cellStyle name="40% - Akzent2" xfId="27"/>
    <cellStyle name="40% - Akzent2 2" xfId="28"/>
    <cellStyle name="40% - Akzent3" xfId="29"/>
    <cellStyle name="40% - Akzent3 2" xfId="30"/>
    <cellStyle name="40% - Akzent4" xfId="31"/>
    <cellStyle name="40% - Akzent4 2" xfId="32"/>
    <cellStyle name="40% - Akzent5" xfId="33"/>
    <cellStyle name="40% - Akzent5 2" xfId="34"/>
    <cellStyle name="40% - Akzent6" xfId="35"/>
    <cellStyle name="40% - Akzent6 2" xfId="36"/>
    <cellStyle name="60% - Accent1" xfId="37"/>
    <cellStyle name="60% - Accent2" xfId="38"/>
    <cellStyle name="60% - Accent3" xfId="39"/>
    <cellStyle name="60% - Accent4" xfId="40"/>
    <cellStyle name="60% - Accent5" xfId="41"/>
    <cellStyle name="60% - Accent6" xfId="42"/>
    <cellStyle name="60% - Akzent1" xfId="43"/>
    <cellStyle name="60% - Akzent1 2" xfId="44"/>
    <cellStyle name="60% - Akzent2" xfId="45"/>
    <cellStyle name="60% - Akzent2 2" xfId="46"/>
    <cellStyle name="60% - Akzent3" xfId="47"/>
    <cellStyle name="60% - Akzent3 2" xfId="48"/>
    <cellStyle name="60% - Akzent4" xfId="49"/>
    <cellStyle name="60% - Akzent4 2" xfId="50"/>
    <cellStyle name="60% - Akzent5" xfId="51"/>
    <cellStyle name="60% - Akzent5 2" xfId="52"/>
    <cellStyle name="60% - Akzent6" xfId="53"/>
    <cellStyle name="60% - Akzent6 2" xfId="54"/>
    <cellStyle name="Accent1" xfId="55"/>
    <cellStyle name="Accent2" xfId="56"/>
    <cellStyle name="Accent3" xfId="57"/>
    <cellStyle name="Accent4" xfId="58"/>
    <cellStyle name="Accent5" xfId="59"/>
    <cellStyle name="Accent6" xfId="60"/>
    <cellStyle name="Akzent1" xfId="61"/>
    <cellStyle name="Akzent1 2" xfId="62"/>
    <cellStyle name="Akzent2" xfId="63"/>
    <cellStyle name="Akzent2 2" xfId="64"/>
    <cellStyle name="Akzent3" xfId="65"/>
    <cellStyle name="Akzent3 2" xfId="66"/>
    <cellStyle name="Akzent4" xfId="67"/>
    <cellStyle name="Akzent4 2" xfId="68"/>
    <cellStyle name="Akzent5" xfId="69"/>
    <cellStyle name="Akzent5 2" xfId="70"/>
    <cellStyle name="Akzent6" xfId="71"/>
    <cellStyle name="Akzent6 2" xfId="72"/>
    <cellStyle name="Ausgabe 2" xfId="73"/>
    <cellStyle name="Bad" xfId="74"/>
    <cellStyle name="Berechnung 2" xfId="75"/>
    <cellStyle name="Body" xfId="76"/>
    <cellStyle name="Check Cell" xfId="77"/>
    <cellStyle name="Eingabe 2" xfId="78"/>
    <cellStyle name="Ergebnis 2" xfId="79"/>
    <cellStyle name="Erklärender Text 2" xfId="80"/>
    <cellStyle name="Euro" xfId="81"/>
    <cellStyle name="Euro 2" xfId="155"/>
    <cellStyle name="Good" xfId="82"/>
    <cellStyle name="Gut" xfId="83"/>
    <cellStyle name="Gut 2" xfId="84"/>
    <cellStyle name="Header1" xfId="85"/>
    <cellStyle name="Header2" xfId="86"/>
    <cellStyle name="Heading 1" xfId="87"/>
    <cellStyle name="Heading 2" xfId="88"/>
    <cellStyle name="Heading 3" xfId="89"/>
    <cellStyle name="Heading 4" xfId="90"/>
    <cellStyle name="Linked Cell" xfId="91"/>
    <cellStyle name="markieren" xfId="92"/>
    <cellStyle name="markieren 2" xfId="93"/>
    <cellStyle name="markieren 2 2" xfId="94"/>
    <cellStyle name="markieren 2 2 2" xfId="157"/>
    <cellStyle name="markieren 2 3" xfId="156"/>
    <cellStyle name="markieren 3" xfId="95"/>
    <cellStyle name="markieren 3 2" xfId="96"/>
    <cellStyle name="markieren 3 2 2" xfId="159"/>
    <cellStyle name="markieren 3 3" xfId="158"/>
    <cellStyle name="markieren 4" xfId="97"/>
    <cellStyle name="markieren 4 2" xfId="98"/>
    <cellStyle name="markieren 4 2 2" xfId="161"/>
    <cellStyle name="markieren 4 3" xfId="160"/>
    <cellStyle name="markieren 5" xfId="99"/>
    <cellStyle name="markieren 5 2" xfId="100"/>
    <cellStyle name="markieren 5 2 2" xfId="163"/>
    <cellStyle name="markieren 5 3" xfId="162"/>
    <cellStyle name="markieren 6" xfId="101"/>
    <cellStyle name="markieren 6 2" xfId="164"/>
    <cellStyle name="markieren 7" xfId="102"/>
    <cellStyle name="markieren 7 2" xfId="165"/>
    <cellStyle name="markieren 8" xfId="103"/>
    <cellStyle name="markieren 8 2" xfId="166"/>
    <cellStyle name="markieren 9" xfId="104"/>
    <cellStyle name="markieren 9 2" xfId="167"/>
    <cellStyle name="markieren2" xfId="105"/>
    <cellStyle name="markierung zurücknehmen" xfId="106"/>
    <cellStyle name="Neutral 2" xfId="107"/>
    <cellStyle name="Neutral 3" xfId="108"/>
    <cellStyle name="Neutral 3 2" xfId="109"/>
    <cellStyle name="Neutral 3 3" xfId="110"/>
    <cellStyle name="no dec" xfId="111"/>
    <cellStyle name="Normal - Style1" xfId="112"/>
    <cellStyle name="Normal - Style1 2" xfId="113"/>
    <cellStyle name="Normal - Style1 2 2" xfId="168"/>
    <cellStyle name="Normal - Style1_Portlist_Dev3_only" xfId="114"/>
    <cellStyle name="Normal 2" xfId="115"/>
    <cellStyle name="Normal 2 2" xfId="169"/>
    <cellStyle name="Note" xfId="116"/>
    <cellStyle name="Note 2" xfId="117"/>
    <cellStyle name="Note 2 2" xfId="118"/>
    <cellStyle name="Note 2 2 2" xfId="171"/>
    <cellStyle name="Note 2 3" xfId="170"/>
    <cellStyle name="Note 3" xfId="119"/>
    <cellStyle name="Note 3 2" xfId="120"/>
    <cellStyle name="Note 3 2 2" xfId="173"/>
    <cellStyle name="Note 3 3" xfId="172"/>
    <cellStyle name="Note 4" xfId="121"/>
    <cellStyle name="Note 4 2" xfId="122"/>
    <cellStyle name="Note 4 2 2" xfId="175"/>
    <cellStyle name="Note 4 3" xfId="174"/>
    <cellStyle name="Note 5" xfId="123"/>
    <cellStyle name="Note 5 2" xfId="124"/>
    <cellStyle name="Note 5 2 2" xfId="177"/>
    <cellStyle name="Note 5 3" xfId="176"/>
    <cellStyle name="Note 6" xfId="125"/>
    <cellStyle name="Note 6 2" xfId="178"/>
    <cellStyle name="Note 7" xfId="126"/>
    <cellStyle name="Note 7 2" xfId="179"/>
    <cellStyle name="Note 8" xfId="127"/>
    <cellStyle name="Note 8 2" xfId="180"/>
    <cellStyle name="Note 9" xfId="128"/>
    <cellStyle name="Note 9 2" xfId="181"/>
    <cellStyle name="Notiz" xfId="129"/>
    <cellStyle name="Notiz 2" xfId="130"/>
    <cellStyle name="Notiz 2 2" xfId="131"/>
    <cellStyle name="Notiz 2 2 2" xfId="183"/>
    <cellStyle name="Notiz 2 3" xfId="182"/>
    <cellStyle name="Notiz 3" xfId="132"/>
    <cellStyle name="Notiz 3 2" xfId="133"/>
    <cellStyle name="Notiz 3 2 2" xfId="185"/>
    <cellStyle name="Notiz 3 3" xfId="184"/>
    <cellStyle name="Notiz 4" xfId="134"/>
    <cellStyle name="Notiz 4 2" xfId="186"/>
    <cellStyle name="Notiz 5" xfId="135"/>
    <cellStyle name="Notiz 5 2" xfId="187"/>
    <cellStyle name="Schlecht" xfId="136"/>
    <cellStyle name="Schlecht 2" xfId="137"/>
    <cellStyle name="Standard 2" xfId="138"/>
    <cellStyle name="Standard 2 2" xfId="188"/>
    <cellStyle name="Title" xfId="139"/>
    <cellStyle name="Überschrift" xfId="140"/>
    <cellStyle name="Überschrift 1" xfId="141"/>
    <cellStyle name="Überschrift 1 2" xfId="142"/>
    <cellStyle name="Überschrift 2" xfId="143"/>
    <cellStyle name="Überschrift 2 2" xfId="144"/>
    <cellStyle name="Überschrift 3" xfId="145"/>
    <cellStyle name="Überschrift 3 2" xfId="146"/>
    <cellStyle name="Überschrift 4" xfId="147"/>
    <cellStyle name="Überschrift 4 2" xfId="148"/>
    <cellStyle name="Überschrift 5" xfId="149"/>
    <cellStyle name="Verknüpfte Zelle" xfId="150"/>
    <cellStyle name="Verknüpfte Zelle 2" xfId="151"/>
    <cellStyle name="Warnender Text 2" xfId="152"/>
    <cellStyle name="Zelle überprüfen" xfId="153"/>
    <cellStyle name="Zelle überprüfen 2" xfId="154"/>
    <cellStyle name="常规" xfId="0" builtinId="0"/>
  </cellStyles>
  <dxfs count="13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FF0000"/>
      </font>
    </dxf>
  </dxfs>
  <tableStyles count="0" defaultTableStyle="TableStyleMedium9" defaultPivotStyle="PivotStyleLight16"/>
  <colors>
    <mruColors>
      <color rgb="FF00FFCC"/>
      <color rgb="FFFFFFCC"/>
      <color rgb="FF99FF99"/>
      <color rgb="FF66FF66"/>
      <color rgb="FFFFCC99"/>
      <color rgb="FFFFCC66"/>
      <color rgb="FFFF9900"/>
      <color rgb="FFFFFF99"/>
      <color rgb="FFFFFF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17280</xdr:colOff>
      <xdr:row>3</xdr:row>
      <xdr:rowOff>154629</xdr:rowOff>
    </xdr:from>
    <xdr:to>
      <xdr:col>18</xdr:col>
      <xdr:colOff>11743</xdr:colOff>
      <xdr:row>60</xdr:row>
      <xdr:rowOff>71103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624" y="768779"/>
          <a:ext cx="10653363" cy="92515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1277</xdr:colOff>
      <xdr:row>3</xdr:row>
      <xdr:rowOff>82603</xdr:rowOff>
    </xdr:from>
    <xdr:to>
      <xdr:col>38</xdr:col>
      <xdr:colOff>557815</xdr:colOff>
      <xdr:row>61</xdr:row>
      <xdr:rowOff>81645</xdr:rowOff>
    </xdr:to>
    <xdr:pic>
      <xdr:nvPicPr>
        <xdr:cNvPr id="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5360800" y="76812"/>
          <a:ext cx="9497884" cy="107377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z1366\gspr_ecu_hw\03_EEC-L\Angebotsteam\C-Engineering\Templates\AE-Checkliste\~NE~1VORLAGE_EHB_ANG_STANDARDLASTENHEFT_MECHANIK_-_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z1366\gspr_ecu_hw\Ord\TOYOTA\EDC17C47\C-Engineering\C4-Integration\C42_documents_B\system_overview\EDC17C47_system_overview_V1.9.3\EDC17C47_Requ-Interface-Module-Integration_BSB_Pin_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kblatt"/>
      <sheetName val="Versionen"/>
      <sheetName val="1. Angebot EEC"/>
      <sheetName val="1. Angebot AEEDE"/>
      <sheetName val="2. Projekt Technik"/>
      <sheetName val="3. Projekt Termine, Kosten"/>
      <sheetName val="4. Anlagen EEC"/>
      <sheetName val="4. Anlagen AEEDE"/>
      <sheetName val="Deckbl AE"/>
      <sheetName val="Version"/>
      <sheetName val="Projekt"/>
      <sheetName val="Definitionen"/>
      <sheetName val="Histori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Basic Requirement"/>
      <sheetName val="Pin list customer"/>
      <sheetName val="Block Diagram"/>
      <sheetName val="BSB Customer"/>
      <sheetName val="portassignement"/>
      <sheetName val="Pin Allocation"/>
      <sheetName val="Geber-Notizen"/>
      <sheetName val="Components"/>
      <sheetName val="Supply-In"/>
      <sheetName val="Supply-Out"/>
      <sheetName val="Analog-In"/>
      <sheetName val="Digtal-In"/>
      <sheetName val="Outputs"/>
      <sheetName val="Com-Lines"/>
      <sheetName val="Specials"/>
      <sheetName val="Stecker"/>
      <sheetName val="Pin List"/>
      <sheetName val="Instructions"/>
      <sheetName val="Definitions"/>
      <sheetName val="Hist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1"/>
  <dimension ref="A1:E44"/>
  <sheetViews>
    <sheetView workbookViewId="0">
      <selection activeCell="D8" sqref="D8"/>
    </sheetView>
  </sheetViews>
  <sheetFormatPr defaultColWidth="11.42578125" defaultRowHeight="12.75" outlineLevelRow="1" x14ac:dyDescent="0.2"/>
  <cols>
    <col min="1" max="1" width="9.7109375" style="4" customWidth="1"/>
    <col min="2" max="2" width="22.85546875" style="4" customWidth="1"/>
    <col min="3" max="3" width="30.5703125" style="12" customWidth="1"/>
    <col min="4" max="4" width="81.5703125" style="4" customWidth="1"/>
    <col min="5" max="5" width="11.42578125" style="6"/>
    <col min="6" max="16384" width="11.42578125" style="4"/>
  </cols>
  <sheetData>
    <row r="1" spans="1:4" x14ac:dyDescent="0.2">
      <c r="A1" s="13" t="s">
        <v>3</v>
      </c>
    </row>
    <row r="3" spans="1:4" ht="26.25" customHeight="1" x14ac:dyDescent="0.2">
      <c r="A3" s="14" t="s">
        <v>4</v>
      </c>
      <c r="B3" s="1" t="s">
        <v>309</v>
      </c>
    </row>
    <row r="4" spans="1:4" ht="25.5" x14ac:dyDescent="0.2">
      <c r="A4" s="14" t="s">
        <v>5</v>
      </c>
      <c r="B4" s="2">
        <v>1</v>
      </c>
    </row>
    <row r="6" spans="1:4" ht="25.5" x14ac:dyDescent="0.2">
      <c r="A6" s="14" t="s">
        <v>6</v>
      </c>
      <c r="B6" s="1"/>
    </row>
    <row r="7" spans="1:4" x14ac:dyDescent="0.2">
      <c r="A7" s="14" t="s">
        <v>7</v>
      </c>
      <c r="B7" s="2" t="s">
        <v>65</v>
      </c>
    </row>
    <row r="8" spans="1:4" ht="25.5" x14ac:dyDescent="0.2">
      <c r="A8" s="14" t="s">
        <v>8</v>
      </c>
      <c r="B8" s="3"/>
    </row>
    <row r="10" spans="1:4" x14ac:dyDescent="0.2">
      <c r="A10" s="4" t="s">
        <v>9</v>
      </c>
    </row>
    <row r="11" spans="1:4" x14ac:dyDescent="0.2">
      <c r="A11" s="4" t="s">
        <v>10</v>
      </c>
    </row>
    <row r="12" spans="1:4" x14ac:dyDescent="0.2">
      <c r="A12" s="4" t="s">
        <v>11</v>
      </c>
    </row>
    <row r="14" spans="1:4" ht="15" x14ac:dyDescent="0.2">
      <c r="A14" s="15" t="s">
        <v>12</v>
      </c>
      <c r="B14" s="16"/>
      <c r="C14" s="16"/>
      <c r="D14" s="16"/>
    </row>
    <row r="15" spans="1:4" x14ac:dyDescent="0.2">
      <c r="A15" s="17"/>
      <c r="B15" s="17"/>
      <c r="C15" s="17"/>
      <c r="D15" s="17"/>
    </row>
    <row r="16" spans="1:4" x14ac:dyDescent="0.2">
      <c r="A16" s="18" t="s">
        <v>13</v>
      </c>
      <c r="B16" s="18" t="s">
        <v>0</v>
      </c>
      <c r="C16" s="18" t="s">
        <v>1</v>
      </c>
      <c r="D16" s="18" t="s">
        <v>2</v>
      </c>
    </row>
    <row r="17" spans="1:4" ht="25.5" hidden="1" x14ac:dyDescent="0.2">
      <c r="A17" s="19">
        <v>1</v>
      </c>
      <c r="B17" s="20" t="s">
        <v>30</v>
      </c>
      <c r="C17" s="21" t="s">
        <v>31</v>
      </c>
      <c r="D17" s="22" t="s">
        <v>32</v>
      </c>
    </row>
    <row r="18" spans="1:4" hidden="1" x14ac:dyDescent="0.2">
      <c r="A18" s="2">
        <v>2</v>
      </c>
      <c r="B18" s="20">
        <v>41172</v>
      </c>
      <c r="C18" s="11" t="s">
        <v>33</v>
      </c>
      <c r="D18" s="22" t="s">
        <v>34</v>
      </c>
    </row>
    <row r="19" spans="1:4" ht="25.5" hidden="1" customHeight="1" x14ac:dyDescent="0.2">
      <c r="A19" s="19">
        <v>3</v>
      </c>
      <c r="B19" s="20">
        <v>41183</v>
      </c>
      <c r="C19" s="21" t="s">
        <v>36</v>
      </c>
      <c r="D19" s="22" t="s">
        <v>35</v>
      </c>
    </row>
    <row r="20" spans="1:4" ht="120.75" hidden="1" customHeight="1" x14ac:dyDescent="0.2">
      <c r="A20" s="2">
        <v>4</v>
      </c>
      <c r="B20" s="20">
        <v>41219</v>
      </c>
      <c r="C20" s="22" t="s">
        <v>37</v>
      </c>
      <c r="D20" s="22" t="s">
        <v>38</v>
      </c>
    </row>
    <row r="21" spans="1:4" hidden="1" x14ac:dyDescent="0.2">
      <c r="A21" s="19">
        <v>5</v>
      </c>
      <c r="B21" s="20">
        <v>41282</v>
      </c>
      <c r="C21" s="23" t="s">
        <v>39</v>
      </c>
      <c r="D21" s="22" t="s">
        <v>40</v>
      </c>
    </row>
    <row r="22" spans="1:4" ht="25.5" hidden="1" x14ac:dyDescent="0.2">
      <c r="A22" s="2">
        <v>6</v>
      </c>
      <c r="B22" s="20">
        <v>41285</v>
      </c>
      <c r="C22" s="25" t="s">
        <v>41</v>
      </c>
      <c r="D22" s="22" t="s">
        <v>42</v>
      </c>
    </row>
    <row r="23" spans="1:4" hidden="1" x14ac:dyDescent="0.2">
      <c r="A23" s="19">
        <v>17</v>
      </c>
      <c r="B23" s="26">
        <v>41348</v>
      </c>
      <c r="C23" s="22" t="s">
        <v>43</v>
      </c>
      <c r="D23" s="22" t="s">
        <v>44</v>
      </c>
    </row>
    <row r="24" spans="1:4" ht="38.25" hidden="1" outlineLevel="1" x14ac:dyDescent="0.2">
      <c r="A24" s="2">
        <v>1</v>
      </c>
      <c r="B24" s="24">
        <v>41358</v>
      </c>
      <c r="C24" s="25" t="s">
        <v>45</v>
      </c>
      <c r="D24" s="22" t="s">
        <v>46</v>
      </c>
    </row>
    <row r="25" spans="1:4" ht="51" hidden="1" outlineLevel="1" x14ac:dyDescent="0.2">
      <c r="A25" s="19">
        <v>2</v>
      </c>
      <c r="B25" s="24">
        <v>41382</v>
      </c>
      <c r="C25" s="25" t="s">
        <v>33</v>
      </c>
      <c r="D25" s="22" t="s">
        <v>47</v>
      </c>
    </row>
    <row r="26" spans="1:4" ht="25.5" hidden="1" outlineLevel="1" x14ac:dyDescent="0.2">
      <c r="A26" s="19">
        <v>3</v>
      </c>
      <c r="B26" s="26">
        <v>41397</v>
      </c>
      <c r="C26" s="25" t="s">
        <v>48</v>
      </c>
      <c r="D26" s="22" t="s">
        <v>49</v>
      </c>
    </row>
    <row r="27" spans="1:4" hidden="1" outlineLevel="1" x14ac:dyDescent="0.2">
      <c r="A27" s="19">
        <v>4</v>
      </c>
      <c r="B27" s="26">
        <v>41431</v>
      </c>
      <c r="C27" s="22" t="s">
        <v>39</v>
      </c>
      <c r="D27" s="22" t="s">
        <v>50</v>
      </c>
    </row>
    <row r="28" spans="1:4" ht="76.5" hidden="1" outlineLevel="1" x14ac:dyDescent="0.2">
      <c r="A28" s="19">
        <v>5</v>
      </c>
      <c r="B28" s="26">
        <v>41466</v>
      </c>
      <c r="C28" s="22" t="s">
        <v>54</v>
      </c>
      <c r="D28" s="22" t="s">
        <v>51</v>
      </c>
    </row>
    <row r="29" spans="1:4" ht="127.5" hidden="1" outlineLevel="1" x14ac:dyDescent="0.2">
      <c r="A29" s="19">
        <v>6</v>
      </c>
      <c r="B29" s="26">
        <v>41470</v>
      </c>
      <c r="C29" s="22" t="s">
        <v>53</v>
      </c>
      <c r="D29" s="22" t="s">
        <v>52</v>
      </c>
    </row>
    <row r="30" spans="1:4" ht="25.5" hidden="1" outlineLevel="1" x14ac:dyDescent="0.2">
      <c r="A30" s="19">
        <v>7</v>
      </c>
      <c r="B30" s="26">
        <v>41472</v>
      </c>
      <c r="C30" s="22" t="s">
        <v>37</v>
      </c>
      <c r="D30" s="22" t="s">
        <v>55</v>
      </c>
    </row>
    <row r="31" spans="1:4" ht="25.5" hidden="1" outlineLevel="1" x14ac:dyDescent="0.2">
      <c r="A31" s="19">
        <v>8</v>
      </c>
      <c r="B31" s="26">
        <v>41474</v>
      </c>
      <c r="C31" s="22" t="s">
        <v>53</v>
      </c>
      <c r="D31" s="22" t="s">
        <v>56</v>
      </c>
    </row>
    <row r="32" spans="1:4" ht="38.25" hidden="1" outlineLevel="1" x14ac:dyDescent="0.2">
      <c r="A32" s="19">
        <v>9</v>
      </c>
      <c r="B32" s="26">
        <v>41488</v>
      </c>
      <c r="C32" s="22" t="s">
        <v>53</v>
      </c>
      <c r="D32" s="22" t="s">
        <v>57</v>
      </c>
    </row>
    <row r="33" spans="1:4" ht="51" hidden="1" outlineLevel="1" x14ac:dyDescent="0.2">
      <c r="A33" s="19">
        <v>10</v>
      </c>
      <c r="B33" s="26">
        <v>41499</v>
      </c>
      <c r="C33" s="22" t="s">
        <v>53</v>
      </c>
      <c r="D33" s="22" t="s">
        <v>58</v>
      </c>
    </row>
    <row r="34" spans="1:4" ht="25.5" hidden="1" outlineLevel="1" x14ac:dyDescent="0.2">
      <c r="A34" s="19">
        <v>11</v>
      </c>
      <c r="B34" s="26">
        <v>41513</v>
      </c>
      <c r="C34" s="22" t="s">
        <v>53</v>
      </c>
      <c r="D34" s="22" t="s">
        <v>59</v>
      </c>
    </row>
    <row r="35" spans="1:4" ht="63.75" hidden="1" outlineLevel="1" x14ac:dyDescent="0.2">
      <c r="A35" s="19">
        <v>12</v>
      </c>
      <c r="B35" s="26">
        <v>41533</v>
      </c>
      <c r="C35" s="22" t="s">
        <v>60</v>
      </c>
      <c r="D35" s="22" t="s">
        <v>61</v>
      </c>
    </row>
    <row r="36" spans="1:4" ht="140.25" hidden="1" outlineLevel="1" x14ac:dyDescent="0.2">
      <c r="A36" s="19">
        <v>13</v>
      </c>
      <c r="B36" s="26">
        <v>41583</v>
      </c>
      <c r="C36" s="22" t="s">
        <v>60</v>
      </c>
      <c r="D36" s="22" t="s">
        <v>62</v>
      </c>
    </row>
    <row r="37" spans="1:4" s="29" customFormat="1" ht="51" customHeight="1" collapsed="1" x14ac:dyDescent="0.2">
      <c r="A37" s="114" t="s">
        <v>245</v>
      </c>
      <c r="B37" s="92">
        <v>43439</v>
      </c>
      <c r="C37" s="28" t="s">
        <v>729</v>
      </c>
      <c r="D37" s="113" t="s">
        <v>730</v>
      </c>
    </row>
    <row r="38" spans="1:4" x14ac:dyDescent="0.2">
      <c r="A38" s="2" t="s">
        <v>760</v>
      </c>
      <c r="B38" s="26">
        <v>43453</v>
      </c>
      <c r="C38" s="133" t="s">
        <v>740</v>
      </c>
      <c r="D38" s="116"/>
    </row>
    <row r="39" spans="1:4" x14ac:dyDescent="0.2">
      <c r="A39" s="115"/>
      <c r="B39" s="26"/>
      <c r="C39" s="28"/>
      <c r="D39" s="116"/>
    </row>
    <row r="40" spans="1:4" x14ac:dyDescent="0.2">
      <c r="A40" s="19"/>
      <c r="B40" s="26"/>
      <c r="C40" s="22"/>
      <c r="D40" s="117"/>
    </row>
    <row r="41" spans="1:4" x14ac:dyDescent="0.2">
      <c r="A41" s="19"/>
      <c r="B41" s="26"/>
      <c r="C41" s="22"/>
      <c r="D41" s="117"/>
    </row>
    <row r="42" spans="1:4" x14ac:dyDescent="0.2">
      <c r="A42" s="118"/>
      <c r="B42" s="119"/>
      <c r="C42" s="120"/>
      <c r="D42" s="41"/>
    </row>
    <row r="43" spans="1:4" x14ac:dyDescent="0.2">
      <c r="A43" s="118"/>
      <c r="B43" s="119"/>
      <c r="C43" s="120"/>
      <c r="D43" s="121"/>
    </row>
    <row r="44" spans="1:4" x14ac:dyDescent="0.2">
      <c r="A44" s="19"/>
      <c r="B44" s="26"/>
      <c r="C44" s="117"/>
      <c r="D44" s="117"/>
    </row>
  </sheetData>
  <phoneticPr fontId="23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T197"/>
  <sheetViews>
    <sheetView tabSelected="1" zoomScale="75" zoomScaleNormal="75" workbookViewId="0">
      <pane ySplit="8" topLeftCell="A69" activePane="bottomLeft" state="frozen"/>
      <selection pane="bottomLeft" activeCell="H73" sqref="H73"/>
    </sheetView>
  </sheetViews>
  <sheetFormatPr defaultColWidth="9.140625" defaultRowHeight="15" x14ac:dyDescent="0.2"/>
  <cols>
    <col min="1" max="1" width="1" style="7" customWidth="1"/>
    <col min="2" max="2" width="23" style="7" customWidth="1"/>
    <col min="3" max="3" width="27" style="5" customWidth="1"/>
    <col min="4" max="4" width="11.85546875" style="33" customWidth="1"/>
    <col min="5" max="5" width="8.7109375" style="10" customWidth="1"/>
    <col min="6" max="6" width="15.5703125" style="152" customWidth="1"/>
    <col min="7" max="7" width="8.42578125" style="8" customWidth="1"/>
    <col min="8" max="8" width="10.5703125" style="8" customWidth="1"/>
    <col min="9" max="9" width="6" style="8" customWidth="1"/>
    <col min="10" max="10" width="6.5703125" style="8" customWidth="1"/>
    <col min="11" max="11" width="7.140625" style="8" customWidth="1"/>
    <col min="12" max="12" width="6.5703125" style="8" customWidth="1"/>
    <col min="13" max="13" width="57.140625" style="93" customWidth="1"/>
    <col min="14" max="14" width="7.28515625" style="8" customWidth="1"/>
    <col min="15" max="15" width="23.85546875" style="8" customWidth="1"/>
    <col min="16" max="16" width="7.28515625" style="8" customWidth="1"/>
    <col min="17" max="17" width="25.28515625" style="8" customWidth="1"/>
    <col min="18" max="18" width="28" style="61" customWidth="1"/>
    <col min="19" max="19" width="10" style="7" customWidth="1"/>
    <col min="20" max="16384" width="9.140625" style="7"/>
  </cols>
  <sheetData>
    <row r="1" spans="1:20" ht="6.75" customHeight="1" thickBot="1" x14ac:dyDescent="0.25">
      <c r="C1" s="33"/>
    </row>
    <row r="2" spans="1:20" s="5" customFormat="1" ht="23.25" customHeight="1" x14ac:dyDescent="0.2">
      <c r="A2" s="33"/>
      <c r="B2" s="170" t="s">
        <v>311</v>
      </c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2"/>
      <c r="P2" s="172"/>
      <c r="Q2" s="173"/>
      <c r="R2" s="62"/>
    </row>
    <row r="3" spans="1:20" s="5" customFormat="1" ht="21.75" customHeight="1" x14ac:dyDescent="0.2">
      <c r="A3" s="33"/>
      <c r="B3" s="174" t="s">
        <v>310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6"/>
      <c r="R3" s="62"/>
    </row>
    <row r="4" spans="1:20" s="5" customFormat="1" ht="12.75" customHeight="1" x14ac:dyDescent="0.2">
      <c r="A4" s="33"/>
      <c r="B4" s="74" t="s">
        <v>22</v>
      </c>
      <c r="C4" s="41" t="s">
        <v>332</v>
      </c>
      <c r="D4" s="122"/>
      <c r="E4" s="54"/>
      <c r="F4" s="153"/>
      <c r="G4" s="55"/>
      <c r="H4" s="55"/>
      <c r="I4" s="55"/>
      <c r="J4" s="55"/>
      <c r="K4" s="55"/>
      <c r="L4" s="55"/>
      <c r="M4" s="94"/>
      <c r="N4" s="66"/>
      <c r="O4" s="66"/>
      <c r="P4" s="66"/>
      <c r="Q4" s="76"/>
      <c r="R4" s="62"/>
    </row>
    <row r="5" spans="1:20" s="5" customFormat="1" ht="12.75" customHeight="1" x14ac:dyDescent="0.2">
      <c r="A5" s="33"/>
      <c r="B5" s="74" t="s">
        <v>23</v>
      </c>
      <c r="C5" s="41"/>
      <c r="D5" s="123"/>
      <c r="E5" s="56"/>
      <c r="F5" s="154"/>
      <c r="G5" s="57"/>
      <c r="H5" s="57"/>
      <c r="I5" s="57"/>
      <c r="J5" s="57"/>
      <c r="K5" s="57"/>
      <c r="L5" s="57"/>
      <c r="M5" s="95"/>
      <c r="N5" s="67"/>
      <c r="O5" s="67"/>
      <c r="P5" s="67"/>
      <c r="Q5" s="77"/>
      <c r="R5" s="62"/>
    </row>
    <row r="6" spans="1:20" s="5" customFormat="1" ht="12.75" customHeight="1" x14ac:dyDescent="0.2">
      <c r="A6" s="33"/>
      <c r="B6" s="74" t="s">
        <v>24</v>
      </c>
      <c r="C6" s="42"/>
      <c r="D6" s="124"/>
      <c r="E6" s="58"/>
      <c r="F6" s="155"/>
      <c r="G6" s="59"/>
      <c r="H6" s="59"/>
      <c r="I6" s="59"/>
      <c r="J6" s="59"/>
      <c r="K6" s="59"/>
      <c r="L6" s="59"/>
      <c r="M6" s="96"/>
      <c r="N6" s="68"/>
      <c r="O6" s="68"/>
      <c r="P6" s="68"/>
      <c r="Q6" s="78"/>
      <c r="R6" s="62"/>
    </row>
    <row r="7" spans="1:20" s="88" customFormat="1" ht="18.75" customHeight="1" x14ac:dyDescent="0.2">
      <c r="B7" s="189" t="s">
        <v>25</v>
      </c>
      <c r="C7" s="190"/>
      <c r="D7" s="190"/>
      <c r="E7" s="190"/>
      <c r="F7" s="190"/>
      <c r="G7" s="190"/>
      <c r="H7" s="190"/>
      <c r="I7" s="190"/>
      <c r="J7" s="190"/>
      <c r="K7" s="190"/>
      <c r="L7" s="190"/>
      <c r="M7" s="190"/>
      <c r="N7" s="177" t="s">
        <v>171</v>
      </c>
      <c r="O7" s="177"/>
      <c r="P7" s="178" t="s">
        <v>170</v>
      </c>
      <c r="Q7" s="179"/>
      <c r="R7" s="89"/>
    </row>
    <row r="8" spans="1:20" s="5" customFormat="1" ht="15.75" customHeight="1" x14ac:dyDescent="0.2">
      <c r="A8" s="33"/>
      <c r="B8" s="84" t="s">
        <v>80</v>
      </c>
      <c r="C8" s="85" t="s">
        <v>154</v>
      </c>
      <c r="D8" s="85" t="s">
        <v>295</v>
      </c>
      <c r="E8" s="86" t="s">
        <v>166</v>
      </c>
      <c r="F8" s="86" t="s">
        <v>751</v>
      </c>
      <c r="G8" s="86" t="s">
        <v>225</v>
      </c>
      <c r="H8" s="87" t="s">
        <v>167</v>
      </c>
      <c r="I8" s="87" t="s">
        <v>168</v>
      </c>
      <c r="J8" s="87" t="s">
        <v>103</v>
      </c>
      <c r="K8" s="87" t="s">
        <v>260</v>
      </c>
      <c r="L8" s="87" t="s">
        <v>117</v>
      </c>
      <c r="M8" s="97" t="s">
        <v>64</v>
      </c>
      <c r="N8" s="90" t="s">
        <v>163</v>
      </c>
      <c r="O8" s="90" t="s">
        <v>164</v>
      </c>
      <c r="P8" s="75" t="s">
        <v>163</v>
      </c>
      <c r="Q8" s="79" t="s">
        <v>164</v>
      </c>
      <c r="R8" s="64"/>
    </row>
    <row r="9" spans="1:20" s="9" customFormat="1" ht="18" x14ac:dyDescent="0.2">
      <c r="B9" s="180" t="s">
        <v>26</v>
      </c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2"/>
      <c r="R9" s="63"/>
    </row>
    <row r="10" spans="1:20" s="5" customFormat="1" ht="12.75" customHeight="1" x14ac:dyDescent="0.2">
      <c r="A10" s="33"/>
      <c r="B10" s="43" t="s">
        <v>468</v>
      </c>
      <c r="C10" s="34" t="s">
        <v>467</v>
      </c>
      <c r="D10" s="34" t="s">
        <v>464</v>
      </c>
      <c r="E10" s="35">
        <v>38</v>
      </c>
      <c r="F10" s="126" t="str">
        <f ca="1">INDIRECT("REF!B"&amp;MATCH(E10,REF!A:A,0))</f>
        <v>AN32</v>
      </c>
      <c r="G10" s="35" t="s">
        <v>223</v>
      </c>
      <c r="H10" s="35" t="s">
        <v>88</v>
      </c>
      <c r="I10" s="35" t="s">
        <v>27</v>
      </c>
      <c r="J10" s="35" t="s">
        <v>102</v>
      </c>
      <c r="K10" s="35"/>
      <c r="L10" s="35" t="s">
        <v>201</v>
      </c>
      <c r="M10" s="98" t="s">
        <v>497</v>
      </c>
      <c r="N10" s="37" t="s">
        <v>813</v>
      </c>
      <c r="O10" s="70"/>
      <c r="P10" s="37" t="s">
        <v>165</v>
      </c>
      <c r="Q10" s="80"/>
      <c r="R10" s="62"/>
    </row>
    <row r="11" spans="1:20" s="5" customFormat="1" x14ac:dyDescent="0.2">
      <c r="A11" s="33"/>
      <c r="B11" s="43" t="s">
        <v>460</v>
      </c>
      <c r="C11" s="34" t="s">
        <v>461</v>
      </c>
      <c r="D11" s="34" t="s">
        <v>465</v>
      </c>
      <c r="E11" s="35">
        <v>31</v>
      </c>
      <c r="F11" s="126" t="str">
        <f ca="1">INDIRECT("REF!B"&amp;MATCH(E11,REF!A:A,0))</f>
        <v>AN44</v>
      </c>
      <c r="G11" s="35" t="s">
        <v>223</v>
      </c>
      <c r="H11" s="35" t="s">
        <v>88</v>
      </c>
      <c r="I11" s="35" t="s">
        <v>27</v>
      </c>
      <c r="J11" s="35" t="s">
        <v>102</v>
      </c>
      <c r="K11" s="35"/>
      <c r="L11" s="35" t="s">
        <v>201</v>
      </c>
      <c r="M11" s="98" t="s">
        <v>316</v>
      </c>
      <c r="N11" s="37" t="s">
        <v>813</v>
      </c>
      <c r="O11" s="70"/>
      <c r="P11" s="37" t="s">
        <v>165</v>
      </c>
      <c r="Q11" s="80"/>
      <c r="R11" s="62"/>
      <c r="S11" s="33"/>
      <c r="T11" s="33"/>
    </row>
    <row r="12" spans="1:20" s="5" customFormat="1" x14ac:dyDescent="0.2">
      <c r="A12" s="33"/>
      <c r="B12" s="43" t="s">
        <v>462</v>
      </c>
      <c r="C12" s="34" t="s">
        <v>463</v>
      </c>
      <c r="D12" s="34" t="s">
        <v>466</v>
      </c>
      <c r="E12" s="35">
        <v>23</v>
      </c>
      <c r="F12" s="126" t="str">
        <f ca="1">INDIRECT("REF!B"&amp;MATCH(E12,REF!A:A,0))</f>
        <v>AN48</v>
      </c>
      <c r="G12" s="35" t="s">
        <v>223</v>
      </c>
      <c r="H12" s="35" t="s">
        <v>88</v>
      </c>
      <c r="I12" s="35" t="s">
        <v>27</v>
      </c>
      <c r="J12" s="35" t="s">
        <v>102</v>
      </c>
      <c r="K12" s="35" t="s">
        <v>261</v>
      </c>
      <c r="L12" s="35" t="s">
        <v>201</v>
      </c>
      <c r="M12" s="98" t="s">
        <v>321</v>
      </c>
      <c r="N12" s="37" t="s">
        <v>813</v>
      </c>
      <c r="O12" s="70"/>
      <c r="P12" s="37" t="s">
        <v>165</v>
      </c>
      <c r="Q12" s="80"/>
      <c r="R12" s="62"/>
      <c r="S12" s="33"/>
      <c r="T12" s="33"/>
    </row>
    <row r="13" spans="1:20" s="5" customFormat="1" x14ac:dyDescent="0.2">
      <c r="A13" s="33"/>
      <c r="B13" s="43" t="s">
        <v>472</v>
      </c>
      <c r="C13" s="34" t="s">
        <v>469</v>
      </c>
      <c r="D13" s="34" t="s">
        <v>475</v>
      </c>
      <c r="E13" s="35">
        <v>22</v>
      </c>
      <c r="F13" s="126" t="str">
        <f ca="1">INDIRECT("REF!B"&amp;MATCH(E13,REF!A:A,0))</f>
        <v>AN49</v>
      </c>
      <c r="G13" s="35" t="s">
        <v>223</v>
      </c>
      <c r="H13" s="35" t="s">
        <v>88</v>
      </c>
      <c r="I13" s="35" t="s">
        <v>27</v>
      </c>
      <c r="J13" s="35" t="s">
        <v>104</v>
      </c>
      <c r="K13" s="35" t="s">
        <v>261</v>
      </c>
      <c r="L13" s="35" t="s">
        <v>201</v>
      </c>
      <c r="M13" s="99" t="s">
        <v>322</v>
      </c>
      <c r="N13" s="37" t="s">
        <v>813</v>
      </c>
      <c r="O13" s="70"/>
      <c r="P13" s="37" t="s">
        <v>165</v>
      </c>
      <c r="Q13" s="80"/>
      <c r="R13" s="62"/>
      <c r="S13" s="33"/>
      <c r="T13" s="33"/>
    </row>
    <row r="14" spans="1:20" s="5" customFormat="1" x14ac:dyDescent="0.2">
      <c r="A14" s="33"/>
      <c r="B14" s="43" t="s">
        <v>473</v>
      </c>
      <c r="C14" s="34" t="s">
        <v>470</v>
      </c>
      <c r="D14" s="34" t="s">
        <v>476</v>
      </c>
      <c r="E14" s="35">
        <v>37</v>
      </c>
      <c r="F14" s="126" t="str">
        <f ca="1">INDIRECT("REF!B"&amp;MATCH(E14,REF!A:A,0))</f>
        <v>AN33</v>
      </c>
      <c r="G14" s="35" t="s">
        <v>223</v>
      </c>
      <c r="H14" s="35" t="s">
        <v>88</v>
      </c>
      <c r="I14" s="35" t="s">
        <v>27</v>
      </c>
      <c r="J14" s="35" t="s">
        <v>104</v>
      </c>
      <c r="K14" s="35"/>
      <c r="L14" s="35" t="s">
        <v>201</v>
      </c>
      <c r="M14" s="99" t="s">
        <v>320</v>
      </c>
      <c r="N14" s="37" t="s">
        <v>813</v>
      </c>
      <c r="O14" s="70"/>
      <c r="P14" s="37" t="s">
        <v>165</v>
      </c>
      <c r="Q14" s="80"/>
      <c r="R14" s="62"/>
      <c r="S14" s="33"/>
      <c r="T14" s="33"/>
    </row>
    <row r="15" spans="1:20" s="5" customFormat="1" x14ac:dyDescent="0.2">
      <c r="A15" s="33"/>
      <c r="B15" s="43" t="s">
        <v>474</v>
      </c>
      <c r="C15" s="34" t="s">
        <v>471</v>
      </c>
      <c r="D15" s="34" t="s">
        <v>477</v>
      </c>
      <c r="E15" s="35">
        <v>30</v>
      </c>
      <c r="F15" s="126" t="str">
        <f ca="1">INDIRECT("REF!B"&amp;MATCH(E15,REF!A:A,0))</f>
        <v>AN45</v>
      </c>
      <c r="G15" s="35" t="s">
        <v>223</v>
      </c>
      <c r="H15" s="35" t="s">
        <v>88</v>
      </c>
      <c r="I15" s="35" t="s">
        <v>27</v>
      </c>
      <c r="J15" s="35" t="s">
        <v>104</v>
      </c>
      <c r="K15" s="35"/>
      <c r="L15" s="35" t="s">
        <v>201</v>
      </c>
      <c r="M15" s="99" t="s">
        <v>317</v>
      </c>
      <c r="N15" s="37" t="s">
        <v>813</v>
      </c>
      <c r="O15" s="70"/>
      <c r="P15" s="37" t="s">
        <v>165</v>
      </c>
      <c r="Q15" s="80"/>
      <c r="R15" s="62"/>
      <c r="S15" s="33"/>
      <c r="T15" s="33"/>
    </row>
    <row r="16" spans="1:20" s="5" customFormat="1" ht="12.75" customHeight="1" x14ac:dyDescent="0.2">
      <c r="A16" s="33"/>
      <c r="B16" s="43" t="s">
        <v>479</v>
      </c>
      <c r="C16" s="34" t="s">
        <v>478</v>
      </c>
      <c r="D16" s="34" t="s">
        <v>296</v>
      </c>
      <c r="E16" s="35">
        <v>67</v>
      </c>
      <c r="F16" s="126" t="str">
        <f ca="1">INDIRECT("REF!B"&amp;MATCH(E16,REF!A:A,0))</f>
        <v>AN0</v>
      </c>
      <c r="G16" s="35" t="s">
        <v>223</v>
      </c>
      <c r="H16" s="35" t="s">
        <v>89</v>
      </c>
      <c r="I16" s="35" t="s">
        <v>27</v>
      </c>
      <c r="J16" s="35" t="s">
        <v>102</v>
      </c>
      <c r="K16" s="35" t="s">
        <v>262</v>
      </c>
      <c r="L16" s="35" t="s">
        <v>201</v>
      </c>
      <c r="M16" s="183" t="s">
        <v>498</v>
      </c>
      <c r="N16" s="37" t="s">
        <v>813</v>
      </c>
      <c r="O16" s="70"/>
      <c r="P16" s="37" t="s">
        <v>165</v>
      </c>
      <c r="Q16" s="80"/>
      <c r="R16" s="62"/>
    </row>
    <row r="17" spans="1:18" s="5" customFormat="1" ht="12.75" x14ac:dyDescent="0.2">
      <c r="A17" s="33"/>
      <c r="B17" s="43" t="s">
        <v>481</v>
      </c>
      <c r="C17" s="34" t="s">
        <v>480</v>
      </c>
      <c r="D17" s="34" t="s">
        <v>297</v>
      </c>
      <c r="E17" s="35">
        <v>66</v>
      </c>
      <c r="F17" s="126" t="str">
        <f ca="1">INDIRECT("REF!B"&amp;MATCH(E17,REF!A:A,0))</f>
        <v>AN1</v>
      </c>
      <c r="G17" s="35" t="s">
        <v>223</v>
      </c>
      <c r="H17" s="35" t="s">
        <v>89</v>
      </c>
      <c r="I17" s="35" t="s">
        <v>27</v>
      </c>
      <c r="J17" s="35" t="s">
        <v>102</v>
      </c>
      <c r="K17" s="35"/>
      <c r="L17" s="35" t="s">
        <v>201</v>
      </c>
      <c r="M17" s="184"/>
      <c r="N17" s="37" t="s">
        <v>813</v>
      </c>
      <c r="O17" s="70"/>
      <c r="P17" s="37" t="s">
        <v>165</v>
      </c>
      <c r="Q17" s="80"/>
      <c r="R17" s="62"/>
    </row>
    <row r="18" spans="1:18" s="5" customFormat="1" ht="12.75" x14ac:dyDescent="0.2">
      <c r="A18" s="33"/>
      <c r="B18" s="43" t="s">
        <v>483</v>
      </c>
      <c r="C18" s="34" t="s">
        <v>482</v>
      </c>
      <c r="D18" s="34" t="s">
        <v>298</v>
      </c>
      <c r="E18" s="35">
        <v>65</v>
      </c>
      <c r="F18" s="126" t="str">
        <f ca="1">INDIRECT("REF!B"&amp;MATCH(E18,REF!A:A,0))</f>
        <v>AN2</v>
      </c>
      <c r="G18" s="35" t="s">
        <v>223</v>
      </c>
      <c r="H18" s="35" t="s">
        <v>89</v>
      </c>
      <c r="I18" s="35" t="s">
        <v>27</v>
      </c>
      <c r="J18" s="35" t="s">
        <v>102</v>
      </c>
      <c r="K18" s="35"/>
      <c r="L18" s="35" t="s">
        <v>201</v>
      </c>
      <c r="M18" s="185" t="s">
        <v>499</v>
      </c>
      <c r="N18" s="37" t="s">
        <v>813</v>
      </c>
      <c r="O18" s="70"/>
      <c r="P18" s="37" t="s">
        <v>165</v>
      </c>
      <c r="Q18" s="80"/>
      <c r="R18" s="62"/>
    </row>
    <row r="19" spans="1:18" s="5" customFormat="1" ht="12.75" x14ac:dyDescent="0.2">
      <c r="A19" s="33"/>
      <c r="B19" s="43" t="s">
        <v>485</v>
      </c>
      <c r="C19" s="34" t="s">
        <v>484</v>
      </c>
      <c r="D19" s="34" t="s">
        <v>299</v>
      </c>
      <c r="E19" s="35">
        <v>64</v>
      </c>
      <c r="F19" s="126" t="str">
        <f ca="1">INDIRECT("REF!B"&amp;MATCH(E19,REF!A:A,0))</f>
        <v>AN3</v>
      </c>
      <c r="G19" s="35" t="s">
        <v>223</v>
      </c>
      <c r="H19" s="35" t="s">
        <v>89</v>
      </c>
      <c r="I19" s="35" t="s">
        <v>27</v>
      </c>
      <c r="J19" s="35" t="s">
        <v>102</v>
      </c>
      <c r="K19" s="35"/>
      <c r="L19" s="35" t="s">
        <v>201</v>
      </c>
      <c r="M19" s="186"/>
      <c r="N19" s="37" t="s">
        <v>813</v>
      </c>
      <c r="O19" s="70"/>
      <c r="P19" s="37" t="s">
        <v>165</v>
      </c>
      <c r="Q19" s="80"/>
      <c r="R19" s="62"/>
    </row>
    <row r="20" spans="1:18" s="5" customFormat="1" ht="12.75" x14ac:dyDescent="0.2">
      <c r="A20" s="33"/>
      <c r="B20" s="43" t="s">
        <v>488</v>
      </c>
      <c r="C20" s="34" t="s">
        <v>487</v>
      </c>
      <c r="D20" s="34" t="s">
        <v>300</v>
      </c>
      <c r="E20" s="35">
        <v>46</v>
      </c>
      <c r="F20" s="126" t="str">
        <f ca="1">INDIRECT("REF!B"&amp;MATCH(E20,REF!A:A,0))</f>
        <v>AN20</v>
      </c>
      <c r="G20" s="35" t="s">
        <v>223</v>
      </c>
      <c r="H20" s="35" t="s">
        <v>89</v>
      </c>
      <c r="I20" s="35" t="s">
        <v>27</v>
      </c>
      <c r="J20" s="35" t="s">
        <v>102</v>
      </c>
      <c r="K20" s="35"/>
      <c r="L20" s="35" t="s">
        <v>201</v>
      </c>
      <c r="M20" s="185" t="s">
        <v>500</v>
      </c>
      <c r="N20" s="37" t="s">
        <v>813</v>
      </c>
      <c r="O20" s="70"/>
      <c r="P20" s="37" t="s">
        <v>165</v>
      </c>
      <c r="Q20" s="80"/>
      <c r="R20" s="62"/>
    </row>
    <row r="21" spans="1:18" s="5" customFormat="1" ht="12.75" x14ac:dyDescent="0.2">
      <c r="A21" s="33"/>
      <c r="B21" s="131" t="s">
        <v>753</v>
      </c>
      <c r="C21" s="34" t="s">
        <v>486</v>
      </c>
      <c r="D21" s="34" t="s">
        <v>308</v>
      </c>
      <c r="E21" s="35">
        <v>45</v>
      </c>
      <c r="F21" s="126" t="str">
        <f ca="1">INDIRECT("REF!B"&amp;MATCH(E21,REF!A:A,0))</f>
        <v>AN21</v>
      </c>
      <c r="G21" s="35" t="s">
        <v>223</v>
      </c>
      <c r="H21" s="35" t="s">
        <v>89</v>
      </c>
      <c r="I21" s="35" t="s">
        <v>27</v>
      </c>
      <c r="J21" s="35" t="s">
        <v>102</v>
      </c>
      <c r="K21" s="35"/>
      <c r="L21" s="35" t="s">
        <v>201</v>
      </c>
      <c r="M21" s="186"/>
      <c r="N21" s="37" t="s">
        <v>813</v>
      </c>
      <c r="O21" s="70"/>
      <c r="P21" s="37" t="s">
        <v>165</v>
      </c>
      <c r="Q21" s="80"/>
      <c r="R21" s="62"/>
    </row>
    <row r="22" spans="1:18" s="5" customFormat="1" ht="12.75" customHeight="1" x14ac:dyDescent="0.2">
      <c r="A22" s="33"/>
      <c r="B22" s="43" t="s">
        <v>490</v>
      </c>
      <c r="C22" s="34" t="s">
        <v>489</v>
      </c>
      <c r="D22" s="34" t="s">
        <v>304</v>
      </c>
      <c r="E22" s="35">
        <v>63</v>
      </c>
      <c r="F22" s="126" t="str">
        <f ca="1">INDIRECT("REF!B"&amp;MATCH(E22,REF!A:A,0))</f>
        <v>AN4</v>
      </c>
      <c r="G22" s="35" t="s">
        <v>223</v>
      </c>
      <c r="H22" s="35" t="s">
        <v>88</v>
      </c>
      <c r="I22" s="35" t="s">
        <v>27</v>
      </c>
      <c r="J22" s="35" t="s">
        <v>104</v>
      </c>
      <c r="K22" s="35"/>
      <c r="L22" s="35" t="s">
        <v>201</v>
      </c>
      <c r="M22" s="99" t="s">
        <v>501</v>
      </c>
      <c r="N22" s="37" t="s">
        <v>813</v>
      </c>
      <c r="O22" s="70"/>
      <c r="P22" s="37" t="s">
        <v>165</v>
      </c>
      <c r="Q22" s="80"/>
      <c r="R22" s="62"/>
    </row>
    <row r="23" spans="1:18" s="5" customFormat="1" x14ac:dyDescent="0.2">
      <c r="A23" s="33"/>
      <c r="B23" s="43" t="s">
        <v>492</v>
      </c>
      <c r="C23" s="34" t="s">
        <v>491</v>
      </c>
      <c r="D23" s="34" t="s">
        <v>303</v>
      </c>
      <c r="E23" s="35">
        <v>59</v>
      </c>
      <c r="F23" s="126" t="str">
        <f ca="1">INDIRECT("REF!B"&amp;MATCH(E23,REF!A:A,0))</f>
        <v>AN8</v>
      </c>
      <c r="G23" s="35" t="s">
        <v>223</v>
      </c>
      <c r="H23" s="35" t="s">
        <v>88</v>
      </c>
      <c r="I23" s="35" t="s">
        <v>27</v>
      </c>
      <c r="J23" s="35" t="s">
        <v>104</v>
      </c>
      <c r="K23" s="35"/>
      <c r="L23" s="35" t="s">
        <v>201</v>
      </c>
      <c r="M23" s="99" t="s">
        <v>502</v>
      </c>
      <c r="N23" s="37" t="s">
        <v>813</v>
      </c>
      <c r="O23" s="70"/>
      <c r="P23" s="37" t="s">
        <v>165</v>
      </c>
      <c r="Q23" s="80"/>
      <c r="R23" s="62"/>
    </row>
    <row r="24" spans="1:18" s="5" customFormat="1" x14ac:dyDescent="0.2">
      <c r="A24" s="33"/>
      <c r="B24" s="43" t="s">
        <v>494</v>
      </c>
      <c r="C24" s="34" t="s">
        <v>493</v>
      </c>
      <c r="D24" s="34" t="s">
        <v>302</v>
      </c>
      <c r="E24" s="35">
        <v>50</v>
      </c>
      <c r="F24" s="126" t="str">
        <f ca="1">INDIRECT("REF!B"&amp;MATCH(E24,REF!A:A,0))</f>
        <v>AN16</v>
      </c>
      <c r="G24" s="35" t="s">
        <v>223</v>
      </c>
      <c r="H24" s="35" t="s">
        <v>88</v>
      </c>
      <c r="I24" s="35" t="s">
        <v>27</v>
      </c>
      <c r="J24" s="35" t="s">
        <v>104</v>
      </c>
      <c r="K24" s="35"/>
      <c r="L24" s="35" t="s">
        <v>201</v>
      </c>
      <c r="M24" s="99" t="s">
        <v>503</v>
      </c>
      <c r="N24" s="37" t="s">
        <v>813</v>
      </c>
      <c r="O24" s="70"/>
      <c r="P24" s="37" t="s">
        <v>165</v>
      </c>
      <c r="Q24" s="80"/>
      <c r="R24" s="62"/>
    </row>
    <row r="25" spans="1:18" s="5" customFormat="1" x14ac:dyDescent="0.2">
      <c r="A25" s="33"/>
      <c r="B25" s="43" t="s">
        <v>496</v>
      </c>
      <c r="C25" s="34" t="s">
        <v>495</v>
      </c>
      <c r="D25" s="34" t="s">
        <v>301</v>
      </c>
      <c r="E25" s="35">
        <v>44</v>
      </c>
      <c r="F25" s="126" t="str">
        <f ca="1">INDIRECT("REF!B"&amp;MATCH(E25,REF!A:A,0))</f>
        <v>AN24</v>
      </c>
      <c r="G25" s="35" t="s">
        <v>223</v>
      </c>
      <c r="H25" s="35" t="s">
        <v>88</v>
      </c>
      <c r="I25" s="35" t="s">
        <v>27</v>
      </c>
      <c r="J25" s="35" t="s">
        <v>104</v>
      </c>
      <c r="K25" s="35"/>
      <c r="L25" s="35" t="s">
        <v>201</v>
      </c>
      <c r="M25" s="99" t="s">
        <v>504</v>
      </c>
      <c r="N25" s="37" t="s">
        <v>813</v>
      </c>
      <c r="O25" s="70"/>
      <c r="P25" s="37" t="s">
        <v>165</v>
      </c>
      <c r="Q25" s="80"/>
      <c r="R25" s="62"/>
    </row>
    <row r="26" spans="1:18" s="33" customFormat="1" x14ac:dyDescent="0.2">
      <c r="B26" s="43" t="s">
        <v>508</v>
      </c>
      <c r="C26" s="36" t="s">
        <v>507</v>
      </c>
      <c r="D26" s="36" t="s">
        <v>505</v>
      </c>
      <c r="E26" s="37">
        <v>49</v>
      </c>
      <c r="F26" s="126" t="str">
        <f ca="1">INDIRECT("REF!B"&amp;MATCH(E26,REF!A:A,0))</f>
        <v>AN17</v>
      </c>
      <c r="G26" s="35" t="s">
        <v>223</v>
      </c>
      <c r="H26" s="35" t="s">
        <v>88</v>
      </c>
      <c r="I26" s="35" t="s">
        <v>102</v>
      </c>
      <c r="J26" s="35" t="s">
        <v>102</v>
      </c>
      <c r="K26" s="35"/>
      <c r="L26" s="35" t="s">
        <v>119</v>
      </c>
      <c r="M26" s="91" t="s">
        <v>323</v>
      </c>
      <c r="N26" s="37" t="s">
        <v>813</v>
      </c>
      <c r="O26" s="70"/>
      <c r="P26" s="37" t="s">
        <v>165</v>
      </c>
      <c r="Q26" s="80"/>
      <c r="R26" s="64"/>
    </row>
    <row r="27" spans="1:18" s="33" customFormat="1" x14ac:dyDescent="0.2">
      <c r="B27" s="131" t="s">
        <v>732</v>
      </c>
      <c r="C27" s="36" t="s">
        <v>509</v>
      </c>
      <c r="D27" s="36" t="s">
        <v>506</v>
      </c>
      <c r="E27" s="37">
        <v>43</v>
      </c>
      <c r="F27" s="126" t="str">
        <f ca="1">INDIRECT("REF!B"&amp;MATCH(E27,REF!A:A,0))</f>
        <v>AN25</v>
      </c>
      <c r="G27" s="35" t="s">
        <v>223</v>
      </c>
      <c r="H27" s="35" t="s">
        <v>88</v>
      </c>
      <c r="I27" s="35" t="s">
        <v>102</v>
      </c>
      <c r="J27" s="35" t="s">
        <v>102</v>
      </c>
      <c r="K27" s="35"/>
      <c r="L27" s="35" t="s">
        <v>119</v>
      </c>
      <c r="M27" s="91" t="s">
        <v>324</v>
      </c>
      <c r="N27" s="37" t="s">
        <v>813</v>
      </c>
      <c r="O27" s="70"/>
      <c r="P27" s="37" t="s">
        <v>165</v>
      </c>
      <c r="Q27" s="80"/>
      <c r="R27" s="64"/>
    </row>
    <row r="28" spans="1:18" s="5" customFormat="1" x14ac:dyDescent="0.2">
      <c r="A28" s="33"/>
      <c r="B28" s="43" t="s">
        <v>513</v>
      </c>
      <c r="C28" s="34" t="s">
        <v>512</v>
      </c>
      <c r="D28" s="34" t="s">
        <v>305</v>
      </c>
      <c r="E28" s="35">
        <v>62</v>
      </c>
      <c r="F28" s="126" t="str">
        <f ca="1">INDIRECT("REF!B"&amp;MATCH(E28,REF!A:A,0))</f>
        <v>AN5</v>
      </c>
      <c r="G28" s="44" t="s">
        <v>224</v>
      </c>
      <c r="H28" s="35" t="s">
        <v>88</v>
      </c>
      <c r="I28" s="35" t="s">
        <v>85</v>
      </c>
      <c r="J28" s="35" t="s">
        <v>102</v>
      </c>
      <c r="K28" s="35"/>
      <c r="L28" s="35" t="s">
        <v>118</v>
      </c>
      <c r="M28" s="91" t="s">
        <v>510</v>
      </c>
      <c r="N28" s="37" t="s">
        <v>813</v>
      </c>
      <c r="O28" s="70"/>
      <c r="P28" s="37" t="s">
        <v>165</v>
      </c>
      <c r="Q28" s="80"/>
      <c r="R28" s="64"/>
    </row>
    <row r="29" spans="1:18" s="5" customFormat="1" x14ac:dyDescent="0.2">
      <c r="A29" s="33"/>
      <c r="B29" s="43" t="s">
        <v>514</v>
      </c>
      <c r="C29" s="34" t="s">
        <v>515</v>
      </c>
      <c r="D29" s="34" t="s">
        <v>306</v>
      </c>
      <c r="E29" s="35">
        <v>34</v>
      </c>
      <c r="F29" s="126" t="str">
        <f ca="1">INDIRECT("REF!B"&amp;MATCH(E29,REF!A:A,0))</f>
        <v>AN37</v>
      </c>
      <c r="G29" s="44" t="s">
        <v>224</v>
      </c>
      <c r="H29" s="35" t="s">
        <v>88</v>
      </c>
      <c r="I29" s="35" t="s">
        <v>102</v>
      </c>
      <c r="J29" s="35" t="s">
        <v>102</v>
      </c>
      <c r="K29" s="35"/>
      <c r="L29" s="35" t="s">
        <v>118</v>
      </c>
      <c r="M29" s="91" t="s">
        <v>511</v>
      </c>
      <c r="N29" s="37" t="s">
        <v>813</v>
      </c>
      <c r="O29" s="70"/>
      <c r="P29" s="37" t="s">
        <v>165</v>
      </c>
      <c r="Q29" s="80"/>
      <c r="R29" s="64"/>
    </row>
    <row r="30" spans="1:18" s="33" customFormat="1" x14ac:dyDescent="0.2">
      <c r="B30" s="43" t="s">
        <v>106</v>
      </c>
      <c r="C30" s="36" t="s">
        <v>516</v>
      </c>
      <c r="D30" s="36" t="s">
        <v>265</v>
      </c>
      <c r="E30" s="37">
        <v>36</v>
      </c>
      <c r="F30" s="126" t="str">
        <f ca="1">INDIRECT("REF!B"&amp;MATCH(E30,REF!A:A,0))</f>
        <v>AN35</v>
      </c>
      <c r="G30" s="44" t="s">
        <v>224</v>
      </c>
      <c r="H30" s="35" t="s">
        <v>88</v>
      </c>
      <c r="I30" s="35" t="s">
        <v>27</v>
      </c>
      <c r="J30" s="35" t="s">
        <v>102</v>
      </c>
      <c r="K30" s="35"/>
      <c r="L30" s="35" t="s">
        <v>118</v>
      </c>
      <c r="M30" s="91" t="s">
        <v>246</v>
      </c>
      <c r="N30" s="37" t="s">
        <v>813</v>
      </c>
      <c r="O30" s="70"/>
      <c r="P30" s="37" t="s">
        <v>165</v>
      </c>
      <c r="Q30" s="80"/>
      <c r="R30" s="64"/>
    </row>
    <row r="31" spans="1:18" s="33" customFormat="1" x14ac:dyDescent="0.2">
      <c r="B31" s="43" t="s">
        <v>518</v>
      </c>
      <c r="C31" s="34" t="s">
        <v>519</v>
      </c>
      <c r="D31" s="34" t="s">
        <v>517</v>
      </c>
      <c r="E31" s="35">
        <v>28</v>
      </c>
      <c r="F31" s="126" t="str">
        <f ca="1">INDIRECT("REF!B"&amp;MATCH(E31,REF!A:A,0))</f>
        <v>AN47</v>
      </c>
      <c r="G31" s="44" t="s">
        <v>224</v>
      </c>
      <c r="H31" s="35" t="s">
        <v>88</v>
      </c>
      <c r="I31" s="35" t="s">
        <v>142</v>
      </c>
      <c r="J31" s="35" t="s">
        <v>85</v>
      </c>
      <c r="K31" s="35"/>
      <c r="L31" s="35" t="s">
        <v>143</v>
      </c>
      <c r="M31" s="91" t="s">
        <v>520</v>
      </c>
      <c r="N31" s="37" t="s">
        <v>813</v>
      </c>
      <c r="O31" s="70"/>
      <c r="P31" s="37" t="s">
        <v>165</v>
      </c>
      <c r="Q31" s="80"/>
      <c r="R31" s="64"/>
    </row>
    <row r="32" spans="1:18" s="5" customFormat="1" x14ac:dyDescent="0.2">
      <c r="A32" s="33"/>
      <c r="B32" s="43" t="s">
        <v>527</v>
      </c>
      <c r="C32" s="34" t="s">
        <v>522</v>
      </c>
      <c r="D32" s="34" t="s">
        <v>524</v>
      </c>
      <c r="E32" s="35">
        <v>57</v>
      </c>
      <c r="F32" s="126" t="str">
        <f ca="1">INDIRECT("REF!B"&amp;MATCH(E32,REF!A:A,0))</f>
        <v>AN11</v>
      </c>
      <c r="G32" s="44" t="s">
        <v>224</v>
      </c>
      <c r="H32" s="35" t="s">
        <v>88</v>
      </c>
      <c r="I32" s="35" t="s">
        <v>142</v>
      </c>
      <c r="J32" s="35" t="s">
        <v>102</v>
      </c>
      <c r="K32" s="35"/>
      <c r="L32" s="35" t="s">
        <v>120</v>
      </c>
      <c r="M32" s="91" t="s">
        <v>186</v>
      </c>
      <c r="N32" s="37" t="s">
        <v>813</v>
      </c>
      <c r="O32" s="70"/>
      <c r="P32" s="37" t="s">
        <v>165</v>
      </c>
      <c r="Q32" s="80"/>
      <c r="R32" s="64"/>
    </row>
    <row r="33" spans="1:18" s="30" customFormat="1" x14ac:dyDescent="0.2">
      <c r="A33" s="33"/>
      <c r="B33" s="43" t="s">
        <v>526</v>
      </c>
      <c r="C33" s="34" t="s">
        <v>523</v>
      </c>
      <c r="D33" s="34" t="s">
        <v>525</v>
      </c>
      <c r="E33" s="35">
        <v>55</v>
      </c>
      <c r="F33" s="126" t="str">
        <f ca="1">INDIRECT("REF!B"&amp;MATCH(E33,REF!A:A,0))</f>
        <v>AN13</v>
      </c>
      <c r="G33" s="44" t="s">
        <v>224</v>
      </c>
      <c r="H33" s="35" t="s">
        <v>88</v>
      </c>
      <c r="I33" s="35" t="s">
        <v>142</v>
      </c>
      <c r="J33" s="35" t="s">
        <v>102</v>
      </c>
      <c r="K33" s="35"/>
      <c r="L33" s="35" t="s">
        <v>120</v>
      </c>
      <c r="M33" s="91" t="s">
        <v>196</v>
      </c>
      <c r="N33" s="37" t="s">
        <v>813</v>
      </c>
      <c r="O33" s="70"/>
      <c r="P33" s="37" t="s">
        <v>165</v>
      </c>
      <c r="Q33" s="80"/>
      <c r="R33" s="64"/>
    </row>
    <row r="34" spans="1:18" s="33" customFormat="1" x14ac:dyDescent="0.2">
      <c r="B34" s="43" t="s">
        <v>250</v>
      </c>
      <c r="C34" s="36" t="s">
        <v>528</v>
      </c>
      <c r="D34" s="36" t="s">
        <v>325</v>
      </c>
      <c r="E34" s="37">
        <v>47</v>
      </c>
      <c r="F34" s="126" t="str">
        <f ca="1">INDIRECT("REF!B"&amp;MATCH(E34,REF!A:A,0))</f>
        <v>AN19</v>
      </c>
      <c r="G34" s="44" t="s">
        <v>224</v>
      </c>
      <c r="H34" s="35" t="s">
        <v>88</v>
      </c>
      <c r="I34" s="35" t="s">
        <v>102</v>
      </c>
      <c r="J34" s="35" t="s">
        <v>102</v>
      </c>
      <c r="K34" s="35"/>
      <c r="L34" s="35" t="s">
        <v>143</v>
      </c>
      <c r="M34" s="109" t="s">
        <v>197</v>
      </c>
      <c r="N34" s="37" t="s">
        <v>813</v>
      </c>
      <c r="O34" s="70"/>
      <c r="P34" s="37" t="s">
        <v>165</v>
      </c>
      <c r="Q34" s="80"/>
      <c r="R34" s="64"/>
    </row>
    <row r="35" spans="1:18" s="5" customFormat="1" x14ac:dyDescent="0.2">
      <c r="A35" s="33"/>
      <c r="B35" s="43" t="s">
        <v>530</v>
      </c>
      <c r="C35" s="36" t="s">
        <v>529</v>
      </c>
      <c r="D35" s="36" t="s">
        <v>266</v>
      </c>
      <c r="E35" s="37">
        <v>48</v>
      </c>
      <c r="F35" s="126" t="str">
        <f ca="1">INDIRECT("REF!B"&amp;MATCH(E35,REF!A:A,0))</f>
        <v>AN18</v>
      </c>
      <c r="G35" s="44" t="s">
        <v>224</v>
      </c>
      <c r="H35" s="35" t="s">
        <v>88</v>
      </c>
      <c r="I35" s="35" t="s">
        <v>142</v>
      </c>
      <c r="J35" s="35" t="s">
        <v>102</v>
      </c>
      <c r="K35" s="35"/>
      <c r="L35" s="35" t="s">
        <v>143</v>
      </c>
      <c r="M35" s="91" t="s">
        <v>197</v>
      </c>
      <c r="N35" s="37" t="s">
        <v>813</v>
      </c>
      <c r="O35" s="70"/>
      <c r="P35" s="37" t="s">
        <v>165</v>
      </c>
      <c r="Q35" s="80"/>
      <c r="R35" s="64"/>
    </row>
    <row r="36" spans="1:18" s="33" customFormat="1" x14ac:dyDescent="0.2">
      <c r="B36" s="43" t="s">
        <v>532</v>
      </c>
      <c r="C36" s="36" t="s">
        <v>531</v>
      </c>
      <c r="D36" s="36" t="s">
        <v>267</v>
      </c>
      <c r="E36" s="37">
        <v>41</v>
      </c>
      <c r="F36" s="126" t="str">
        <f ca="1">INDIRECT("REF!B"&amp;MATCH(E36,REF!A:A,0))</f>
        <v>AN27</v>
      </c>
      <c r="G36" s="44" t="s">
        <v>224</v>
      </c>
      <c r="H36" s="35" t="s">
        <v>88</v>
      </c>
      <c r="I36" s="35" t="s">
        <v>85</v>
      </c>
      <c r="J36" s="35" t="s">
        <v>85</v>
      </c>
      <c r="K36" s="35"/>
      <c r="L36" s="35" t="s">
        <v>118</v>
      </c>
      <c r="M36" s="109" t="s">
        <v>197</v>
      </c>
      <c r="N36" s="37" t="s">
        <v>813</v>
      </c>
      <c r="O36" s="70"/>
      <c r="P36" s="37" t="s">
        <v>165</v>
      </c>
      <c r="Q36" s="80"/>
      <c r="R36" s="64"/>
    </row>
    <row r="37" spans="1:18" s="27" customFormat="1" x14ac:dyDescent="0.2">
      <c r="B37" s="43" t="s">
        <v>318</v>
      </c>
      <c r="C37" s="34" t="s">
        <v>533</v>
      </c>
      <c r="D37" s="34" t="s">
        <v>319</v>
      </c>
      <c r="E37" s="35">
        <v>33</v>
      </c>
      <c r="F37" s="126" t="str">
        <f ca="1">INDIRECT("REF!B"&amp;MATCH(E37,REF!A:A,0))</f>
        <v>AN38</v>
      </c>
      <c r="G37" s="44" t="s">
        <v>224</v>
      </c>
      <c r="H37" s="35" t="s">
        <v>88</v>
      </c>
      <c r="I37" s="35" t="s">
        <v>85</v>
      </c>
      <c r="J37" s="35" t="s">
        <v>85</v>
      </c>
      <c r="K37" s="35"/>
      <c r="L37" s="35" t="s">
        <v>118</v>
      </c>
      <c r="M37" s="109" t="s">
        <v>521</v>
      </c>
      <c r="N37" s="37" t="s">
        <v>813</v>
      </c>
      <c r="O37" s="70"/>
      <c r="P37" s="37" t="s">
        <v>165</v>
      </c>
      <c r="Q37" s="80"/>
      <c r="R37" s="65"/>
    </row>
    <row r="38" spans="1:18" s="27" customFormat="1" x14ac:dyDescent="0.2">
      <c r="B38" s="43"/>
      <c r="C38" s="34"/>
      <c r="D38" s="34"/>
      <c r="E38" s="35"/>
      <c r="F38" s="35"/>
      <c r="G38" s="35"/>
      <c r="H38" s="35"/>
      <c r="I38" s="35"/>
      <c r="J38" s="35"/>
      <c r="K38" s="35"/>
      <c r="L38" s="35"/>
      <c r="M38" s="91"/>
      <c r="N38" s="37" t="s">
        <v>165</v>
      </c>
      <c r="O38" s="70"/>
      <c r="P38" s="37" t="s">
        <v>165</v>
      </c>
      <c r="Q38" s="80"/>
      <c r="R38" s="65"/>
    </row>
    <row r="39" spans="1:18" s="9" customFormat="1" ht="18" x14ac:dyDescent="0.2">
      <c r="B39" s="180" t="s">
        <v>63</v>
      </c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2"/>
      <c r="R39" s="63"/>
    </row>
    <row r="40" spans="1:18" s="30" customFormat="1" ht="13.7" customHeight="1" x14ac:dyDescent="0.2">
      <c r="A40" s="33"/>
      <c r="B40" s="131" t="s">
        <v>742</v>
      </c>
      <c r="C40" s="34" t="s">
        <v>534</v>
      </c>
      <c r="D40" s="34" t="s">
        <v>558</v>
      </c>
      <c r="E40" s="126">
        <v>9</v>
      </c>
      <c r="F40" s="126" t="str">
        <f ca="1">INDIRECT("REF!B"&amp;MATCH(E40,REF!A:A,0))</f>
        <v>P02.8</v>
      </c>
      <c r="G40" s="40" t="s">
        <v>223</v>
      </c>
      <c r="H40" s="35" t="s">
        <v>169</v>
      </c>
      <c r="I40" s="45" t="s">
        <v>28</v>
      </c>
      <c r="J40" s="35" t="s">
        <v>102</v>
      </c>
      <c r="K40" s="35"/>
      <c r="L40" s="35" t="s">
        <v>199</v>
      </c>
      <c r="M40" s="100" t="s">
        <v>187</v>
      </c>
      <c r="N40" s="37" t="s">
        <v>165</v>
      </c>
      <c r="O40" s="70"/>
      <c r="P40" s="37" t="s">
        <v>165</v>
      </c>
      <c r="Q40" s="80"/>
      <c r="R40" s="62"/>
    </row>
    <row r="41" spans="1:18" s="5" customFormat="1" ht="12.75" customHeight="1" x14ac:dyDescent="0.2">
      <c r="A41" s="33"/>
      <c r="B41" s="43" t="s">
        <v>546</v>
      </c>
      <c r="C41" s="34" t="s">
        <v>535</v>
      </c>
      <c r="D41" s="34" t="s">
        <v>547</v>
      </c>
      <c r="E41" s="126">
        <v>2</v>
      </c>
      <c r="F41" s="126" t="str">
        <f ca="1">INDIRECT("REF!B"&amp;MATCH(E41,REF!A:A,0))</f>
        <v>P02.1</v>
      </c>
      <c r="G41" s="40" t="s">
        <v>223</v>
      </c>
      <c r="H41" s="35" t="s">
        <v>90</v>
      </c>
      <c r="I41" s="45" t="s">
        <v>28</v>
      </c>
      <c r="J41" s="35" t="s">
        <v>102</v>
      </c>
      <c r="K41" s="35"/>
      <c r="L41" s="35" t="s">
        <v>199</v>
      </c>
      <c r="M41" s="100" t="s">
        <v>549</v>
      </c>
      <c r="N41" s="37" t="s">
        <v>165</v>
      </c>
      <c r="O41" s="70"/>
      <c r="P41" s="37" t="s">
        <v>165</v>
      </c>
      <c r="Q41" s="80"/>
      <c r="R41" s="62"/>
    </row>
    <row r="42" spans="1:18" s="5" customFormat="1" x14ac:dyDescent="0.2">
      <c r="A42" s="33"/>
      <c r="B42" s="43" t="s">
        <v>541</v>
      </c>
      <c r="C42" s="34" t="s">
        <v>536</v>
      </c>
      <c r="D42" s="34" t="s">
        <v>548</v>
      </c>
      <c r="E42" s="126">
        <v>3</v>
      </c>
      <c r="F42" s="126" t="str">
        <f ca="1">INDIRECT("REF!B"&amp;MATCH(E42,REF!A:A,0))</f>
        <v>P02.2</v>
      </c>
      <c r="G42" s="40" t="s">
        <v>223</v>
      </c>
      <c r="H42" s="35" t="s">
        <v>91</v>
      </c>
      <c r="I42" s="45" t="s">
        <v>28</v>
      </c>
      <c r="J42" s="35" t="s">
        <v>102</v>
      </c>
      <c r="K42" s="35"/>
      <c r="L42" s="35" t="s">
        <v>199</v>
      </c>
      <c r="M42" s="100" t="s">
        <v>550</v>
      </c>
      <c r="N42" s="37" t="s">
        <v>165</v>
      </c>
      <c r="O42" s="70"/>
      <c r="P42" s="37" t="s">
        <v>165</v>
      </c>
      <c r="Q42" s="80"/>
      <c r="R42" s="62"/>
    </row>
    <row r="43" spans="1:18" s="5" customFormat="1" x14ac:dyDescent="0.2">
      <c r="A43" s="33"/>
      <c r="B43" s="43" t="s">
        <v>542</v>
      </c>
      <c r="C43" s="34" t="s">
        <v>537</v>
      </c>
      <c r="D43" s="34" t="s">
        <v>542</v>
      </c>
      <c r="E43" s="126">
        <v>4</v>
      </c>
      <c r="F43" s="126" t="str">
        <f ca="1">INDIRECT("REF!B"&amp;MATCH(E43,REF!A:A,0))</f>
        <v>P02.3</v>
      </c>
      <c r="G43" s="40" t="s">
        <v>223</v>
      </c>
      <c r="H43" s="35" t="s">
        <v>92</v>
      </c>
      <c r="I43" s="45" t="s">
        <v>28</v>
      </c>
      <c r="J43" s="35" t="s">
        <v>102</v>
      </c>
      <c r="K43" s="35"/>
      <c r="L43" s="35" t="s">
        <v>199</v>
      </c>
      <c r="M43" s="100" t="s">
        <v>551</v>
      </c>
      <c r="N43" s="37" t="s">
        <v>165</v>
      </c>
      <c r="O43" s="70"/>
      <c r="P43" s="37" t="s">
        <v>165</v>
      </c>
      <c r="Q43" s="80"/>
      <c r="R43" s="62"/>
    </row>
    <row r="44" spans="1:18" s="5" customFormat="1" x14ac:dyDescent="0.2">
      <c r="A44" s="33"/>
      <c r="B44" s="43" t="s">
        <v>543</v>
      </c>
      <c r="C44" s="34" t="s">
        <v>538</v>
      </c>
      <c r="D44" s="34" t="s">
        <v>543</v>
      </c>
      <c r="E44" s="126">
        <v>5</v>
      </c>
      <c r="F44" s="126" t="str">
        <f ca="1">INDIRECT("REF!B"&amp;MATCH(E44,REF!A:A,0))</f>
        <v>P02.4</v>
      </c>
      <c r="G44" s="40" t="s">
        <v>223</v>
      </c>
      <c r="H44" s="35" t="s">
        <v>93</v>
      </c>
      <c r="I44" s="45" t="s">
        <v>28</v>
      </c>
      <c r="J44" s="35" t="s">
        <v>102</v>
      </c>
      <c r="K44" s="35"/>
      <c r="L44" s="35" t="s">
        <v>199</v>
      </c>
      <c r="M44" s="100" t="s">
        <v>552</v>
      </c>
      <c r="N44" s="37" t="s">
        <v>165</v>
      </c>
      <c r="O44" s="70"/>
      <c r="P44" s="37" t="s">
        <v>165</v>
      </c>
      <c r="Q44" s="80"/>
      <c r="R44" s="62"/>
    </row>
    <row r="45" spans="1:18" s="5" customFormat="1" x14ac:dyDescent="0.2">
      <c r="A45" s="33"/>
      <c r="B45" s="43" t="s">
        <v>544</v>
      </c>
      <c r="C45" s="34" t="s">
        <v>539</v>
      </c>
      <c r="D45" s="34" t="s">
        <v>544</v>
      </c>
      <c r="E45" s="126">
        <v>6</v>
      </c>
      <c r="F45" s="126" t="str">
        <f ca="1">INDIRECT("REF!B"&amp;MATCH(E45,REF!A:A,0))</f>
        <v>P02.5</v>
      </c>
      <c r="G45" s="40" t="s">
        <v>223</v>
      </c>
      <c r="H45" s="35" t="s">
        <v>94</v>
      </c>
      <c r="I45" s="45" t="s">
        <v>28</v>
      </c>
      <c r="J45" s="35" t="s">
        <v>102</v>
      </c>
      <c r="K45" s="35"/>
      <c r="L45" s="35" t="s">
        <v>199</v>
      </c>
      <c r="M45" s="100" t="s">
        <v>553</v>
      </c>
      <c r="N45" s="37" t="s">
        <v>165</v>
      </c>
      <c r="O45" s="70"/>
      <c r="P45" s="37" t="s">
        <v>165</v>
      </c>
      <c r="Q45" s="80"/>
      <c r="R45" s="62"/>
    </row>
    <row r="46" spans="1:18" s="5" customFormat="1" x14ac:dyDescent="0.2">
      <c r="A46" s="33"/>
      <c r="B46" s="43" t="s">
        <v>545</v>
      </c>
      <c r="C46" s="34" t="s">
        <v>540</v>
      </c>
      <c r="D46" s="34" t="s">
        <v>545</v>
      </c>
      <c r="E46" s="126">
        <v>7</v>
      </c>
      <c r="F46" s="126" t="str">
        <f ca="1">INDIRECT("REF!B"&amp;MATCH(E46,REF!A:A,0))</f>
        <v>P02.6</v>
      </c>
      <c r="G46" s="40" t="s">
        <v>223</v>
      </c>
      <c r="H46" s="35" t="s">
        <v>95</v>
      </c>
      <c r="I46" s="45" t="s">
        <v>28</v>
      </c>
      <c r="J46" s="35" t="s">
        <v>102</v>
      </c>
      <c r="K46" s="35"/>
      <c r="L46" s="35" t="s">
        <v>199</v>
      </c>
      <c r="M46" s="100" t="s">
        <v>554</v>
      </c>
      <c r="N46" s="37" t="s">
        <v>165</v>
      </c>
      <c r="O46" s="70"/>
      <c r="P46" s="37" t="s">
        <v>165</v>
      </c>
      <c r="Q46" s="80"/>
      <c r="R46" s="62"/>
    </row>
    <row r="47" spans="1:18" s="5" customFormat="1" x14ac:dyDescent="0.2">
      <c r="A47" s="33"/>
      <c r="B47" s="43" t="s">
        <v>555</v>
      </c>
      <c r="C47" s="34" t="s">
        <v>557</v>
      </c>
      <c r="D47" s="34" t="s">
        <v>556</v>
      </c>
      <c r="E47" s="35">
        <v>141</v>
      </c>
      <c r="F47" s="126" t="str">
        <f ca="1">INDIRECT("REF!B"&amp;MATCH(E47,REF!A:A,0))</f>
        <v>P15.8</v>
      </c>
      <c r="G47" s="40" t="s">
        <v>223</v>
      </c>
      <c r="H47" s="35" t="s">
        <v>96</v>
      </c>
      <c r="I47" s="45" t="s">
        <v>28</v>
      </c>
      <c r="J47" s="35" t="s">
        <v>102</v>
      </c>
      <c r="K47" s="35"/>
      <c r="L47" s="35" t="s">
        <v>199</v>
      </c>
      <c r="M47" s="100" t="s">
        <v>188</v>
      </c>
      <c r="N47" s="37" t="s">
        <v>165</v>
      </c>
      <c r="O47" s="70"/>
      <c r="P47" s="37" t="s">
        <v>165</v>
      </c>
      <c r="Q47" s="80"/>
      <c r="R47" s="62"/>
    </row>
    <row r="48" spans="1:18" s="33" customFormat="1" x14ac:dyDescent="0.2">
      <c r="B48" s="43" t="s">
        <v>560</v>
      </c>
      <c r="C48" s="34" t="s">
        <v>559</v>
      </c>
      <c r="D48" s="34" t="s">
        <v>561</v>
      </c>
      <c r="E48" s="35">
        <v>11</v>
      </c>
      <c r="F48" s="126" t="str">
        <f ca="1">INDIRECT("REF!B"&amp;MATCH(E48,REF!A:A,0))</f>
        <v>P00.0</v>
      </c>
      <c r="G48" s="40" t="s">
        <v>223</v>
      </c>
      <c r="H48" s="35" t="s">
        <v>97</v>
      </c>
      <c r="I48" s="35" t="s">
        <v>82</v>
      </c>
      <c r="J48" s="35" t="s">
        <v>104</v>
      </c>
      <c r="K48" s="35"/>
      <c r="L48" s="35" t="s">
        <v>121</v>
      </c>
      <c r="M48" s="101" t="s">
        <v>189</v>
      </c>
      <c r="N48" s="37" t="s">
        <v>165</v>
      </c>
      <c r="O48" s="70"/>
      <c r="P48" s="37" t="s">
        <v>165</v>
      </c>
      <c r="Q48" s="80"/>
      <c r="R48" s="62"/>
    </row>
    <row r="49" spans="1:18" s="5" customFormat="1" x14ac:dyDescent="0.2">
      <c r="A49" s="33"/>
      <c r="B49" s="43" t="s">
        <v>563</v>
      </c>
      <c r="C49" s="34" t="s">
        <v>564</v>
      </c>
      <c r="D49" s="34" t="s">
        <v>565</v>
      </c>
      <c r="E49" s="35">
        <v>14</v>
      </c>
      <c r="F49" s="126" t="str">
        <f ca="1">INDIRECT("REF!B"&amp;MATCH(E49,REF!A:A,0))</f>
        <v>P00.3</v>
      </c>
      <c r="G49" s="40" t="s">
        <v>223</v>
      </c>
      <c r="H49" s="35" t="s">
        <v>259</v>
      </c>
      <c r="I49" s="35" t="s">
        <v>29</v>
      </c>
      <c r="J49" s="35" t="s">
        <v>104</v>
      </c>
      <c r="K49" s="35"/>
      <c r="L49" s="35" t="s">
        <v>122</v>
      </c>
      <c r="M49" s="101" t="s">
        <v>562</v>
      </c>
      <c r="N49" s="37" t="s">
        <v>165</v>
      </c>
      <c r="O49" s="70"/>
      <c r="P49" s="37" t="s">
        <v>165</v>
      </c>
      <c r="Q49" s="80"/>
      <c r="R49" s="62"/>
    </row>
    <row r="50" spans="1:18" s="5" customFormat="1" x14ac:dyDescent="0.2">
      <c r="A50" s="33"/>
      <c r="B50" s="43" t="s">
        <v>567</v>
      </c>
      <c r="C50" s="34" t="s">
        <v>566</v>
      </c>
      <c r="D50" s="34" t="s">
        <v>570</v>
      </c>
      <c r="E50" s="35">
        <v>17</v>
      </c>
      <c r="F50" s="126" t="str">
        <f ca="1">INDIRECT("REF!B"&amp;MATCH(E50,REF!A:A,0))</f>
        <v>P00.6</v>
      </c>
      <c r="G50" s="40" t="s">
        <v>223</v>
      </c>
      <c r="H50" s="35" t="s">
        <v>70</v>
      </c>
      <c r="I50" s="35" t="s">
        <v>29</v>
      </c>
      <c r="J50" s="35" t="s">
        <v>104</v>
      </c>
      <c r="K50" s="35"/>
      <c r="L50" s="35" t="s">
        <v>122</v>
      </c>
      <c r="M50" s="101" t="s">
        <v>258</v>
      </c>
      <c r="N50" s="37" t="s">
        <v>165</v>
      </c>
      <c r="O50" s="70"/>
      <c r="P50" s="37" t="s">
        <v>165</v>
      </c>
      <c r="Q50" s="80"/>
      <c r="R50" s="62"/>
    </row>
    <row r="51" spans="1:18" s="5" customFormat="1" x14ac:dyDescent="0.2">
      <c r="A51" s="33"/>
      <c r="B51" s="43" t="s">
        <v>568</v>
      </c>
      <c r="C51" s="34" t="s">
        <v>573</v>
      </c>
      <c r="D51" s="34" t="s">
        <v>571</v>
      </c>
      <c r="E51" s="35">
        <v>18</v>
      </c>
      <c r="F51" s="126" t="str">
        <f ca="1">INDIRECT("REF!B"&amp;MATCH(E51,REF!A:A,0))</f>
        <v>P00.7</v>
      </c>
      <c r="G51" s="40" t="s">
        <v>223</v>
      </c>
      <c r="H51" s="35" t="s">
        <v>71</v>
      </c>
      <c r="I51" s="35" t="s">
        <v>29</v>
      </c>
      <c r="J51" s="35" t="s">
        <v>104</v>
      </c>
      <c r="K51" s="35"/>
      <c r="L51" s="35" t="s">
        <v>122</v>
      </c>
      <c r="M51" s="101" t="s">
        <v>190</v>
      </c>
      <c r="N51" s="37" t="s">
        <v>165</v>
      </c>
      <c r="O51" s="70"/>
      <c r="P51" s="37" t="s">
        <v>165</v>
      </c>
      <c r="Q51" s="80"/>
      <c r="R51" s="62"/>
    </row>
    <row r="52" spans="1:18" s="5" customFormat="1" x14ac:dyDescent="0.2">
      <c r="A52" s="33"/>
      <c r="B52" s="43" t="s">
        <v>569</v>
      </c>
      <c r="C52" s="34" t="s">
        <v>574</v>
      </c>
      <c r="D52" s="34" t="s">
        <v>572</v>
      </c>
      <c r="E52" s="35">
        <v>19</v>
      </c>
      <c r="F52" s="126" t="str">
        <f ca="1">INDIRECT("REF!B"&amp;MATCH(E52,REF!A:A,0))</f>
        <v>P00.8</v>
      </c>
      <c r="G52" s="40" t="s">
        <v>223</v>
      </c>
      <c r="H52" s="35" t="s">
        <v>72</v>
      </c>
      <c r="I52" s="35" t="s">
        <v>29</v>
      </c>
      <c r="J52" s="35" t="s">
        <v>104</v>
      </c>
      <c r="K52" s="35"/>
      <c r="L52" s="35" t="s">
        <v>122</v>
      </c>
      <c r="M52" s="101" t="s">
        <v>191</v>
      </c>
      <c r="N52" s="37" t="s">
        <v>165</v>
      </c>
      <c r="O52" s="70"/>
      <c r="P52" s="37" t="s">
        <v>165</v>
      </c>
      <c r="Q52" s="80"/>
      <c r="R52" s="62"/>
    </row>
    <row r="53" spans="1:18" s="5" customFormat="1" ht="12" customHeight="1" x14ac:dyDescent="0.2">
      <c r="A53" s="33"/>
      <c r="B53" s="43" t="s">
        <v>577</v>
      </c>
      <c r="C53" s="34" t="s">
        <v>575</v>
      </c>
      <c r="D53" s="34" t="s">
        <v>579</v>
      </c>
      <c r="E53" s="35">
        <v>81</v>
      </c>
      <c r="F53" s="126" t="str">
        <f ca="1">INDIRECT("REF!B"&amp;MATCH(E53,REF!A:A,0))</f>
        <v>P33.11</v>
      </c>
      <c r="G53" s="40" t="s">
        <v>223</v>
      </c>
      <c r="H53" s="35" t="s">
        <v>202</v>
      </c>
      <c r="I53" s="35" t="s">
        <v>28</v>
      </c>
      <c r="J53" s="35" t="s">
        <v>102</v>
      </c>
      <c r="K53" s="35"/>
      <c r="L53" s="35" t="s">
        <v>199</v>
      </c>
      <c r="M53" s="100" t="s">
        <v>252</v>
      </c>
      <c r="N53" s="37" t="s">
        <v>165</v>
      </c>
      <c r="O53" s="70"/>
      <c r="P53" s="37" t="s">
        <v>165</v>
      </c>
      <c r="Q53" s="80"/>
      <c r="R53" s="62"/>
    </row>
    <row r="54" spans="1:18" s="5" customFormat="1" ht="14.25" customHeight="1" x14ac:dyDescent="0.2">
      <c r="A54" s="33"/>
      <c r="B54" s="43" t="s">
        <v>578</v>
      </c>
      <c r="C54" s="34" t="s">
        <v>576</v>
      </c>
      <c r="D54" s="34" t="s">
        <v>580</v>
      </c>
      <c r="E54" s="35">
        <v>82</v>
      </c>
      <c r="F54" s="126" t="str">
        <f ca="1">INDIRECT("REF!B"&amp;MATCH(E54,REF!A:A,0))</f>
        <v>P33.12</v>
      </c>
      <c r="G54" s="40" t="s">
        <v>223</v>
      </c>
      <c r="H54" s="35" t="s">
        <v>203</v>
      </c>
      <c r="I54" s="35" t="s">
        <v>28</v>
      </c>
      <c r="J54" s="35" t="s">
        <v>102</v>
      </c>
      <c r="K54" s="35"/>
      <c r="L54" s="35" t="s">
        <v>199</v>
      </c>
      <c r="M54" s="100" t="s">
        <v>253</v>
      </c>
      <c r="N54" s="37" t="s">
        <v>165</v>
      </c>
      <c r="O54" s="70"/>
      <c r="P54" s="37" t="s">
        <v>165</v>
      </c>
      <c r="Q54" s="80"/>
      <c r="R54" s="62"/>
    </row>
    <row r="55" spans="1:18" s="5" customFormat="1" ht="15.75" customHeight="1" x14ac:dyDescent="0.2">
      <c r="A55" s="110"/>
      <c r="B55" s="43" t="s">
        <v>583</v>
      </c>
      <c r="C55" s="34" t="s">
        <v>582</v>
      </c>
      <c r="D55" s="34" t="s">
        <v>584</v>
      </c>
      <c r="E55" s="37">
        <v>116</v>
      </c>
      <c r="F55" s="126" t="str">
        <f ca="1">INDIRECT("REF!B"&amp;MATCH(E55,REF!A:A,0))</f>
        <v>P20.0</v>
      </c>
      <c r="G55" s="40" t="s">
        <v>223</v>
      </c>
      <c r="H55" s="35" t="s">
        <v>210</v>
      </c>
      <c r="I55" s="37" t="s">
        <v>28</v>
      </c>
      <c r="J55" s="35" t="s">
        <v>102</v>
      </c>
      <c r="K55" s="35"/>
      <c r="L55" s="35" t="s">
        <v>199</v>
      </c>
      <c r="M55" s="102" t="s">
        <v>227</v>
      </c>
      <c r="N55" s="37" t="s">
        <v>165</v>
      </c>
      <c r="O55" s="70"/>
      <c r="P55" s="37" t="s">
        <v>165</v>
      </c>
      <c r="Q55" s="80"/>
      <c r="R55" s="62"/>
    </row>
    <row r="56" spans="1:18" s="33" customFormat="1" x14ac:dyDescent="0.2">
      <c r="B56" s="43" t="s">
        <v>585</v>
      </c>
      <c r="C56" s="34" t="s">
        <v>586</v>
      </c>
      <c r="D56" s="34" t="s">
        <v>581</v>
      </c>
      <c r="E56" s="37">
        <v>119</v>
      </c>
      <c r="F56" s="126" t="str">
        <f ca="1">INDIRECT("REF!B"&amp;MATCH(E56,REF!A:A,0))</f>
        <v>P20.3</v>
      </c>
      <c r="G56" s="40" t="s">
        <v>223</v>
      </c>
      <c r="H56" s="37" t="s">
        <v>211</v>
      </c>
      <c r="I56" s="37" t="s">
        <v>82</v>
      </c>
      <c r="J56" s="35" t="s">
        <v>104</v>
      </c>
      <c r="K56" s="35"/>
      <c r="L56" s="35">
        <v>0</v>
      </c>
      <c r="M56" s="102" t="s">
        <v>212</v>
      </c>
      <c r="N56" s="37" t="s">
        <v>165</v>
      </c>
      <c r="O56" s="70"/>
      <c r="P56" s="37" t="s">
        <v>165</v>
      </c>
      <c r="Q56" s="80"/>
      <c r="R56" s="62"/>
    </row>
    <row r="57" spans="1:18" s="5" customFormat="1" x14ac:dyDescent="0.2">
      <c r="A57" s="33"/>
      <c r="B57" s="131" t="s">
        <v>735</v>
      </c>
      <c r="C57" s="132" t="s">
        <v>734</v>
      </c>
      <c r="D57" s="132" t="s">
        <v>733</v>
      </c>
      <c r="E57" s="35">
        <v>78</v>
      </c>
      <c r="F57" s="126" t="str">
        <f ca="1">INDIRECT("REF!B"&amp;MATCH(E57,REF!A:A,0))</f>
        <v>P33.8</v>
      </c>
      <c r="G57" s="40" t="s">
        <v>223</v>
      </c>
      <c r="H57" s="35" t="s">
        <v>127</v>
      </c>
      <c r="I57" s="35" t="s">
        <v>28</v>
      </c>
      <c r="J57" s="35" t="s">
        <v>132</v>
      </c>
      <c r="K57" s="35"/>
      <c r="L57" s="35" t="s">
        <v>133</v>
      </c>
      <c r="M57" s="104" t="s">
        <v>192</v>
      </c>
      <c r="N57" s="37" t="s">
        <v>165</v>
      </c>
      <c r="O57" s="70"/>
      <c r="P57" s="37" t="s">
        <v>165</v>
      </c>
      <c r="Q57" s="80"/>
      <c r="R57" s="62"/>
    </row>
    <row r="58" spans="1:18" s="33" customFormat="1" x14ac:dyDescent="0.2">
      <c r="B58" s="43" t="s">
        <v>589</v>
      </c>
      <c r="C58" s="34" t="s">
        <v>590</v>
      </c>
      <c r="D58" s="34" t="s">
        <v>592</v>
      </c>
      <c r="E58" s="35">
        <v>92</v>
      </c>
      <c r="F58" s="126" t="str">
        <f ca="1">INDIRECT("REF!B"&amp;MATCH(E58,REF!A:A,0))</f>
        <v>P23.3</v>
      </c>
      <c r="G58" s="40" t="s">
        <v>223</v>
      </c>
      <c r="H58" s="35" t="s">
        <v>254</v>
      </c>
      <c r="I58" s="35" t="s">
        <v>28</v>
      </c>
      <c r="J58" s="35" t="s">
        <v>185</v>
      </c>
      <c r="K58" s="35"/>
      <c r="L58" s="35" t="s">
        <v>199</v>
      </c>
      <c r="M58" s="103" t="s">
        <v>232</v>
      </c>
      <c r="N58" s="37" t="s">
        <v>165</v>
      </c>
      <c r="O58" s="71"/>
      <c r="P58" s="37" t="s">
        <v>165</v>
      </c>
      <c r="Q58" s="80"/>
      <c r="R58" s="62"/>
    </row>
    <row r="59" spans="1:18" s="33" customFormat="1" x14ac:dyDescent="0.2">
      <c r="B59" s="43" t="s">
        <v>588</v>
      </c>
      <c r="C59" s="34" t="s">
        <v>591</v>
      </c>
      <c r="D59" s="34" t="s">
        <v>588</v>
      </c>
      <c r="E59" s="35">
        <v>93</v>
      </c>
      <c r="F59" s="126" t="str">
        <f ca="1">INDIRECT("REF!B"&amp;MATCH(E59,REF!A:A,0))</f>
        <v>P23.4</v>
      </c>
      <c r="G59" s="40" t="s">
        <v>223</v>
      </c>
      <c r="H59" s="35" t="s">
        <v>255</v>
      </c>
      <c r="I59" s="35" t="s">
        <v>28</v>
      </c>
      <c r="J59" s="35" t="s">
        <v>85</v>
      </c>
      <c r="K59" s="35"/>
      <c r="L59" s="35" t="s">
        <v>183</v>
      </c>
      <c r="M59" s="103" t="s">
        <v>587</v>
      </c>
      <c r="N59" s="37" t="s">
        <v>165</v>
      </c>
      <c r="O59" s="71"/>
      <c r="P59" s="37" t="s">
        <v>165</v>
      </c>
      <c r="Q59" s="80"/>
      <c r="R59" s="62"/>
    </row>
    <row r="60" spans="1:18" s="5" customFormat="1" ht="13.7" customHeight="1" x14ac:dyDescent="0.2">
      <c r="A60" s="33"/>
      <c r="B60" s="43" t="s">
        <v>601</v>
      </c>
      <c r="C60" s="34" t="s">
        <v>594</v>
      </c>
      <c r="D60" s="34" t="s">
        <v>595</v>
      </c>
      <c r="E60" s="35">
        <v>169</v>
      </c>
      <c r="F60" s="126" t="str">
        <f ca="1">INDIRECT("REF!B"&amp;MATCH(E60,REF!A:A,0))</f>
        <v>P10.1</v>
      </c>
      <c r="G60" s="40" t="s">
        <v>223</v>
      </c>
      <c r="H60" s="35" t="s">
        <v>229</v>
      </c>
      <c r="I60" s="35" t="s">
        <v>28</v>
      </c>
      <c r="J60" s="35" t="s">
        <v>109</v>
      </c>
      <c r="K60" s="35"/>
      <c r="L60" s="35" t="s">
        <v>199</v>
      </c>
      <c r="M60" s="103" t="s">
        <v>206</v>
      </c>
      <c r="N60" s="37" t="s">
        <v>165</v>
      </c>
      <c r="O60" s="70"/>
      <c r="P60" s="37" t="s">
        <v>165</v>
      </c>
      <c r="Q60" s="80"/>
      <c r="R60" s="62"/>
    </row>
    <row r="61" spans="1:18" s="5" customFormat="1" ht="13.7" customHeight="1" x14ac:dyDescent="0.2">
      <c r="A61" s="33"/>
      <c r="B61" s="43" t="s">
        <v>602</v>
      </c>
      <c r="C61" s="34" t="s">
        <v>598</v>
      </c>
      <c r="D61" s="34" t="s">
        <v>600</v>
      </c>
      <c r="E61" s="35">
        <v>170</v>
      </c>
      <c r="F61" s="126" t="str">
        <f ca="1">INDIRECT("REF!B"&amp;MATCH(E61,REF!A:A,0))</f>
        <v>P10.2</v>
      </c>
      <c r="G61" s="40" t="s">
        <v>223</v>
      </c>
      <c r="H61" s="35" t="s">
        <v>204</v>
      </c>
      <c r="I61" s="35" t="s">
        <v>28</v>
      </c>
      <c r="J61" s="35" t="s">
        <v>85</v>
      </c>
      <c r="K61" s="35"/>
      <c r="L61" s="35" t="s">
        <v>199</v>
      </c>
      <c r="M61" s="103" t="s">
        <v>207</v>
      </c>
      <c r="N61" s="37" t="s">
        <v>165</v>
      </c>
      <c r="O61" s="70"/>
      <c r="P61" s="37" t="s">
        <v>165</v>
      </c>
      <c r="Q61" s="80"/>
      <c r="R61" s="62"/>
    </row>
    <row r="62" spans="1:18" s="5" customFormat="1" ht="13.7" customHeight="1" x14ac:dyDescent="0.2">
      <c r="A62" s="33"/>
      <c r="B62" s="43" t="s">
        <v>603</v>
      </c>
      <c r="C62" s="34" t="s">
        <v>597</v>
      </c>
      <c r="D62" s="34" t="s">
        <v>599</v>
      </c>
      <c r="E62" s="35">
        <v>171</v>
      </c>
      <c r="F62" s="126" t="str">
        <f ca="1">INDIRECT("REF!B"&amp;MATCH(E62,REF!A:A,0))</f>
        <v>P10.3</v>
      </c>
      <c r="G62" s="40" t="s">
        <v>223</v>
      </c>
      <c r="H62" s="35" t="s">
        <v>205</v>
      </c>
      <c r="I62" s="35" t="s">
        <v>28</v>
      </c>
      <c r="J62" s="35" t="s">
        <v>85</v>
      </c>
      <c r="K62" s="35"/>
      <c r="L62" s="35" t="s">
        <v>199</v>
      </c>
      <c r="M62" s="103" t="s">
        <v>208</v>
      </c>
      <c r="N62" s="37" t="s">
        <v>165</v>
      </c>
      <c r="O62" s="70"/>
      <c r="P62" s="37" t="s">
        <v>165</v>
      </c>
      <c r="Q62" s="80"/>
      <c r="R62" s="62"/>
    </row>
    <row r="63" spans="1:18" s="5" customFormat="1" ht="13.7" customHeight="1" x14ac:dyDescent="0.2">
      <c r="A63" s="33"/>
      <c r="B63" s="43" t="s">
        <v>604</v>
      </c>
      <c r="C63" s="34" t="s">
        <v>593</v>
      </c>
      <c r="D63" s="34" t="s">
        <v>596</v>
      </c>
      <c r="E63" s="35">
        <v>168</v>
      </c>
      <c r="F63" s="126" t="str">
        <f ca="1">INDIRECT("REF!B"&amp;MATCH(E63,REF!A:A,0))</f>
        <v>P10.0</v>
      </c>
      <c r="G63" s="40" t="s">
        <v>223</v>
      </c>
      <c r="H63" s="35" t="s">
        <v>228</v>
      </c>
      <c r="I63" s="35" t="s">
        <v>28</v>
      </c>
      <c r="J63" s="35" t="s">
        <v>109</v>
      </c>
      <c r="K63" s="35"/>
      <c r="L63" s="35" t="s">
        <v>199</v>
      </c>
      <c r="M63" s="103" t="s">
        <v>209</v>
      </c>
      <c r="N63" s="37" t="s">
        <v>165</v>
      </c>
      <c r="O63" s="70"/>
      <c r="P63" s="37" t="s">
        <v>165</v>
      </c>
      <c r="Q63" s="80"/>
      <c r="R63" s="62"/>
    </row>
    <row r="64" spans="1:18" s="33" customFormat="1" ht="13.7" customHeight="1" x14ac:dyDescent="0.2">
      <c r="B64" s="43" t="s">
        <v>607</v>
      </c>
      <c r="C64" s="34" t="s">
        <v>608</v>
      </c>
      <c r="D64" s="34" t="s">
        <v>606</v>
      </c>
      <c r="E64" s="35">
        <v>127</v>
      </c>
      <c r="F64" s="126" t="str">
        <f ca="1">INDIRECT("REF!B"&amp;MATCH(E64,REF!A:A,0))</f>
        <v>P20.9</v>
      </c>
      <c r="G64" s="35" t="s">
        <v>248</v>
      </c>
      <c r="H64" s="35" t="s">
        <v>605</v>
      </c>
      <c r="I64" s="35" t="s">
        <v>28</v>
      </c>
      <c r="J64" s="35" t="s">
        <v>102</v>
      </c>
      <c r="K64" s="35"/>
      <c r="L64" s="35" t="s">
        <v>183</v>
      </c>
      <c r="M64" s="103" t="s">
        <v>814</v>
      </c>
      <c r="N64" s="37" t="s">
        <v>165</v>
      </c>
      <c r="O64" s="70"/>
      <c r="P64" s="37" t="s">
        <v>165</v>
      </c>
      <c r="Q64" s="80"/>
      <c r="R64" s="62"/>
    </row>
    <row r="65" spans="1:19" s="5" customFormat="1" x14ac:dyDescent="0.2">
      <c r="A65" s="33"/>
      <c r="B65" s="43" t="s">
        <v>611</v>
      </c>
      <c r="C65" s="34" t="s">
        <v>610</v>
      </c>
      <c r="D65" s="34" t="s">
        <v>609</v>
      </c>
      <c r="E65" s="35">
        <v>126</v>
      </c>
      <c r="F65" s="126" t="str">
        <f ca="1">INDIRECT("REF!B"&amp;MATCH(E65,REF!A:A,0))</f>
        <v>P20.8</v>
      </c>
      <c r="G65" s="35" t="s">
        <v>224</v>
      </c>
      <c r="H65" s="130" t="s">
        <v>731</v>
      </c>
      <c r="I65" s="35" t="s">
        <v>139</v>
      </c>
      <c r="J65" s="35" t="s">
        <v>141</v>
      </c>
      <c r="K65" s="35"/>
      <c r="L65" s="35" t="s">
        <v>140</v>
      </c>
      <c r="M65" s="104" t="s">
        <v>116</v>
      </c>
      <c r="N65" s="37" t="s">
        <v>165</v>
      </c>
      <c r="O65" s="70"/>
      <c r="P65" s="37" t="s">
        <v>165</v>
      </c>
      <c r="Q65" s="80"/>
      <c r="R65" s="62"/>
    </row>
    <row r="66" spans="1:19" s="33" customFormat="1" ht="13.7" customHeight="1" x14ac:dyDescent="0.2">
      <c r="B66" s="43" t="s">
        <v>268</v>
      </c>
      <c r="C66" s="34" t="s">
        <v>612</v>
      </c>
      <c r="D66" s="34" t="s">
        <v>268</v>
      </c>
      <c r="E66" s="35">
        <v>138</v>
      </c>
      <c r="F66" s="126" t="str">
        <f ca="1">INDIRECT("REF!B"&amp;MATCH(E66,REF!A:A,0))</f>
        <v>P15.5</v>
      </c>
      <c r="G66" s="35" t="s">
        <v>224</v>
      </c>
      <c r="H66" s="35" t="s">
        <v>233</v>
      </c>
      <c r="I66" s="35" t="s">
        <v>180</v>
      </c>
      <c r="J66" s="35" t="s">
        <v>185</v>
      </c>
      <c r="K66" s="35"/>
      <c r="L66" s="35" t="s">
        <v>122</v>
      </c>
      <c r="M66" s="103" t="s">
        <v>193</v>
      </c>
      <c r="N66" s="37" t="s">
        <v>165</v>
      </c>
      <c r="O66" s="70"/>
      <c r="P66" s="37" t="s">
        <v>165</v>
      </c>
      <c r="Q66" s="80"/>
      <c r="R66" s="62"/>
    </row>
    <row r="67" spans="1:19" s="33" customFormat="1" x14ac:dyDescent="0.2">
      <c r="B67" s="43"/>
      <c r="C67" s="39"/>
      <c r="D67" s="39"/>
      <c r="E67" s="35"/>
      <c r="F67" s="35"/>
      <c r="G67" s="40"/>
      <c r="H67" s="40"/>
      <c r="I67" s="40"/>
      <c r="J67" s="40"/>
      <c r="K67" s="40"/>
      <c r="L67" s="40"/>
      <c r="M67" s="91"/>
      <c r="N67" s="37" t="s">
        <v>165</v>
      </c>
      <c r="O67" s="71"/>
      <c r="P67" s="37" t="s">
        <v>165</v>
      </c>
      <c r="Q67" s="80"/>
      <c r="R67" s="62"/>
    </row>
    <row r="68" spans="1:19" s="9" customFormat="1" ht="18" x14ac:dyDescent="0.2">
      <c r="B68" s="180" t="s">
        <v>130</v>
      </c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2"/>
      <c r="R68" s="63"/>
    </row>
    <row r="69" spans="1:19" s="5" customFormat="1" x14ac:dyDescent="0.2">
      <c r="A69" s="33"/>
      <c r="B69" s="43" t="s">
        <v>249</v>
      </c>
      <c r="C69" s="34" t="s">
        <v>613</v>
      </c>
      <c r="D69" s="34" t="s">
        <v>269</v>
      </c>
      <c r="E69" s="35">
        <v>121</v>
      </c>
      <c r="F69" s="126" t="str">
        <f ca="1">INDIRECT("REF!B"&amp;MATCH(E69,REF!A:A,0))</f>
        <v>PORST</v>
      </c>
      <c r="G69" s="40" t="s">
        <v>223</v>
      </c>
      <c r="H69" s="40" t="s">
        <v>128</v>
      </c>
      <c r="I69" s="40" t="s">
        <v>29</v>
      </c>
      <c r="J69" s="40" t="s">
        <v>125</v>
      </c>
      <c r="K69" s="40"/>
      <c r="L69" s="40" t="s">
        <v>129</v>
      </c>
      <c r="M69" s="91" t="s">
        <v>108</v>
      </c>
      <c r="N69" s="37" t="s">
        <v>165</v>
      </c>
      <c r="O69" s="71"/>
      <c r="P69" s="37" t="s">
        <v>165</v>
      </c>
      <c r="Q69" s="80"/>
      <c r="R69" s="62"/>
    </row>
    <row r="70" spans="1:19" s="33" customFormat="1" ht="13.7" customHeight="1" x14ac:dyDescent="0.2">
      <c r="B70" s="43" t="s">
        <v>728</v>
      </c>
      <c r="C70" s="34" t="s">
        <v>727</v>
      </c>
      <c r="D70" s="34" t="s">
        <v>728</v>
      </c>
      <c r="E70" s="35">
        <v>161</v>
      </c>
      <c r="F70" s="126" t="str">
        <f ca="1">INDIRECT("REF!B"&amp;MATCH(E70,REF!A:A,0))</f>
        <v>P11.3</v>
      </c>
      <c r="G70" s="40" t="s">
        <v>223</v>
      </c>
      <c r="H70" s="35" t="s">
        <v>726</v>
      </c>
      <c r="I70" s="35" t="s">
        <v>82</v>
      </c>
      <c r="J70" s="35" t="s">
        <v>85</v>
      </c>
      <c r="K70" s="35"/>
      <c r="L70" s="35" t="s">
        <v>182</v>
      </c>
      <c r="M70" s="103" t="s">
        <v>614</v>
      </c>
      <c r="N70" s="37" t="s">
        <v>165</v>
      </c>
      <c r="O70" s="70"/>
      <c r="P70" s="37" t="s">
        <v>165</v>
      </c>
      <c r="Q70" s="80"/>
      <c r="R70" s="62"/>
      <c r="S70" s="60"/>
    </row>
    <row r="71" spans="1:19" s="33" customFormat="1" ht="13.7" customHeight="1" x14ac:dyDescent="0.2">
      <c r="B71" s="43" t="s">
        <v>617</v>
      </c>
      <c r="C71" s="34" t="s">
        <v>618</v>
      </c>
      <c r="D71" s="34" t="s">
        <v>617</v>
      </c>
      <c r="E71" s="35">
        <v>70</v>
      </c>
      <c r="F71" s="126" t="str">
        <f ca="1">INDIRECT("REF!B"&amp;MATCH(E71,REF!A:A,0))</f>
        <v>P33.0</v>
      </c>
      <c r="G71" s="40" t="s">
        <v>223</v>
      </c>
      <c r="H71" s="37" t="s">
        <v>216</v>
      </c>
      <c r="I71" s="35" t="s">
        <v>101</v>
      </c>
      <c r="J71" s="35" t="s">
        <v>85</v>
      </c>
      <c r="K71" s="35"/>
      <c r="L71" s="35" t="s">
        <v>182</v>
      </c>
      <c r="M71" s="103" t="s">
        <v>221</v>
      </c>
      <c r="N71" s="37" t="s">
        <v>165</v>
      </c>
      <c r="O71" s="70"/>
      <c r="P71" s="37" t="s">
        <v>165</v>
      </c>
      <c r="Q71" s="80"/>
      <c r="R71" s="62"/>
      <c r="S71" s="60"/>
    </row>
    <row r="72" spans="1:19" s="33" customFormat="1" ht="13.7" customHeight="1" x14ac:dyDescent="0.2">
      <c r="B72" s="43" t="s">
        <v>615</v>
      </c>
      <c r="C72" s="34" t="s">
        <v>616</v>
      </c>
      <c r="D72" s="34" t="s">
        <v>615</v>
      </c>
      <c r="E72" s="35">
        <v>71</v>
      </c>
      <c r="F72" s="126" t="str">
        <f ca="1">INDIRECT("REF!B"&amp;MATCH(E72,REF!A:A,0))</f>
        <v>P33.1</v>
      </c>
      <c r="G72" s="40" t="s">
        <v>223</v>
      </c>
      <c r="H72" s="37" t="s">
        <v>69</v>
      </c>
      <c r="I72" s="35" t="s">
        <v>82</v>
      </c>
      <c r="J72" s="35" t="s">
        <v>85</v>
      </c>
      <c r="K72" s="35"/>
      <c r="L72" s="35" t="s">
        <v>182</v>
      </c>
      <c r="M72" s="103" t="s">
        <v>220</v>
      </c>
      <c r="N72" s="37" t="s">
        <v>165</v>
      </c>
      <c r="O72" s="70"/>
      <c r="P72" s="37" t="s">
        <v>165</v>
      </c>
      <c r="Q72" s="80"/>
      <c r="R72" s="62"/>
      <c r="S72" s="60"/>
    </row>
    <row r="73" spans="1:19" s="33" customFormat="1" ht="13.7" customHeight="1" x14ac:dyDescent="0.2">
      <c r="B73" s="128" t="s">
        <v>619</v>
      </c>
      <c r="C73" s="34" t="s">
        <v>623</v>
      </c>
      <c r="D73" s="127" t="s">
        <v>621</v>
      </c>
      <c r="E73" s="35">
        <v>72</v>
      </c>
      <c r="F73" s="126" t="str">
        <f ca="1">INDIRECT("REF!B"&amp;MATCH(E73,REF!A:A,0))</f>
        <v>P33.2</v>
      </c>
      <c r="G73" s="40" t="s">
        <v>223</v>
      </c>
      <c r="H73" s="35" t="s">
        <v>217</v>
      </c>
      <c r="I73" s="35" t="s">
        <v>101</v>
      </c>
      <c r="J73" s="35" t="s">
        <v>85</v>
      </c>
      <c r="K73" s="35"/>
      <c r="L73" s="35" t="s">
        <v>182</v>
      </c>
      <c r="M73" s="103" t="s">
        <v>222</v>
      </c>
      <c r="N73" s="37" t="s">
        <v>165</v>
      </c>
      <c r="O73" s="70"/>
      <c r="P73" s="37" t="s">
        <v>165</v>
      </c>
      <c r="Q73" s="80"/>
      <c r="R73" s="62"/>
    </row>
    <row r="74" spans="1:19" s="33" customFormat="1" ht="13.7" customHeight="1" x14ac:dyDescent="0.2">
      <c r="B74" s="128" t="s">
        <v>624</v>
      </c>
      <c r="C74" s="34" t="s">
        <v>622</v>
      </c>
      <c r="D74" s="127" t="s">
        <v>620</v>
      </c>
      <c r="E74" s="35">
        <v>73</v>
      </c>
      <c r="F74" s="126" t="str">
        <f ca="1">INDIRECT("REF!B"&amp;MATCH(E74,REF!A:A,0))</f>
        <v>P33.3</v>
      </c>
      <c r="G74" s="40" t="s">
        <v>223</v>
      </c>
      <c r="H74" s="35" t="s">
        <v>218</v>
      </c>
      <c r="I74" s="35" t="s">
        <v>82</v>
      </c>
      <c r="J74" s="35" t="s">
        <v>85</v>
      </c>
      <c r="K74" s="35"/>
      <c r="L74" s="35" t="s">
        <v>182</v>
      </c>
      <c r="M74" s="103" t="s">
        <v>219</v>
      </c>
      <c r="N74" s="37" t="s">
        <v>165</v>
      </c>
      <c r="O74" s="70"/>
      <c r="P74" s="37" t="s">
        <v>165</v>
      </c>
      <c r="Q74" s="80"/>
      <c r="R74" s="62"/>
    </row>
    <row r="75" spans="1:19" s="33" customFormat="1" ht="13.5" customHeight="1" x14ac:dyDescent="0.2">
      <c r="B75" s="43" t="s">
        <v>271</v>
      </c>
      <c r="C75" s="125" t="s">
        <v>718</v>
      </c>
      <c r="D75" s="125" t="s">
        <v>627</v>
      </c>
      <c r="E75" s="35">
        <v>176</v>
      </c>
      <c r="F75" s="126" t="str">
        <f ca="1">INDIRECT("REF!B"&amp;MATCH(E75,REF!A:A,0))</f>
        <v>P10.8</v>
      </c>
      <c r="G75" s="40" t="s">
        <v>223</v>
      </c>
      <c r="H75" s="35" t="s">
        <v>625</v>
      </c>
      <c r="I75" s="35" t="s">
        <v>82</v>
      </c>
      <c r="J75" s="35" t="s">
        <v>85</v>
      </c>
      <c r="K75" s="35"/>
      <c r="L75" s="35" t="s">
        <v>182</v>
      </c>
      <c r="M75" s="103" t="s">
        <v>237</v>
      </c>
      <c r="N75" s="37" t="s">
        <v>165</v>
      </c>
      <c r="O75" s="70"/>
      <c r="P75" s="37" t="s">
        <v>165</v>
      </c>
      <c r="Q75" s="80"/>
      <c r="R75" s="62"/>
    </row>
    <row r="76" spans="1:19" s="33" customFormat="1" ht="13.7" customHeight="1" x14ac:dyDescent="0.2">
      <c r="B76" s="43" t="s">
        <v>270</v>
      </c>
      <c r="C76" s="125" t="s">
        <v>719</v>
      </c>
      <c r="D76" s="125" t="s">
        <v>628</v>
      </c>
      <c r="E76" s="35">
        <v>1</v>
      </c>
      <c r="F76" s="126" t="str">
        <f ca="1">INDIRECT("REF!B"&amp;MATCH(E76,REF!A:A,0))</f>
        <v>P02.0</v>
      </c>
      <c r="G76" s="40" t="s">
        <v>223</v>
      </c>
      <c r="H76" s="35" t="s">
        <v>238</v>
      </c>
      <c r="I76" s="35" t="s">
        <v>82</v>
      </c>
      <c r="J76" s="35" t="s">
        <v>85</v>
      </c>
      <c r="K76" s="35"/>
      <c r="L76" s="35" t="s">
        <v>182</v>
      </c>
      <c r="M76" s="103" t="s">
        <v>239</v>
      </c>
      <c r="N76" s="37" t="s">
        <v>165</v>
      </c>
      <c r="O76" s="70"/>
      <c r="P76" s="37" t="s">
        <v>165</v>
      </c>
      <c r="Q76" s="80"/>
      <c r="R76" s="62"/>
    </row>
    <row r="77" spans="1:19" s="33" customFormat="1" ht="13.7" customHeight="1" x14ac:dyDescent="0.2">
      <c r="B77" s="43" t="s">
        <v>717</v>
      </c>
      <c r="C77" s="125" t="s">
        <v>721</v>
      </c>
      <c r="D77" s="125" t="s">
        <v>722</v>
      </c>
      <c r="E77" s="35">
        <v>16</v>
      </c>
      <c r="F77" s="126" t="str">
        <f ca="1">INDIRECT("REF!B"&amp;MATCH(E77,REF!A:A,0))</f>
        <v>P00.5</v>
      </c>
      <c r="G77" s="40" t="s">
        <v>223</v>
      </c>
      <c r="H77" s="35" t="s">
        <v>724</v>
      </c>
      <c r="I77" s="35" t="s">
        <v>82</v>
      </c>
      <c r="J77" s="35" t="s">
        <v>85</v>
      </c>
      <c r="K77" s="35"/>
      <c r="L77" s="35" t="s">
        <v>182</v>
      </c>
      <c r="M77" s="103" t="s">
        <v>241</v>
      </c>
      <c r="N77" s="37" t="s">
        <v>165</v>
      </c>
      <c r="O77" s="70"/>
      <c r="P77" s="37" t="s">
        <v>165</v>
      </c>
      <c r="Q77" s="80"/>
      <c r="R77" s="62"/>
    </row>
    <row r="78" spans="1:19" s="33" customFormat="1" ht="13.5" customHeight="1" x14ac:dyDescent="0.2">
      <c r="B78" s="43" t="s">
        <v>626</v>
      </c>
      <c r="C78" s="34" t="s">
        <v>720</v>
      </c>
      <c r="D78" s="34" t="s">
        <v>723</v>
      </c>
      <c r="E78" s="35">
        <v>15</v>
      </c>
      <c r="F78" s="126" t="str">
        <f ca="1">INDIRECT("REF!B"&amp;MATCH(E78,REF!A:A,0))</f>
        <v>P00.4</v>
      </c>
      <c r="G78" s="40" t="s">
        <v>223</v>
      </c>
      <c r="H78" s="35" t="s">
        <v>725</v>
      </c>
      <c r="I78" s="35" t="s">
        <v>82</v>
      </c>
      <c r="J78" s="35" t="s">
        <v>85</v>
      </c>
      <c r="K78" s="35"/>
      <c r="L78" s="35" t="s">
        <v>182</v>
      </c>
      <c r="M78" s="103" t="s">
        <v>240</v>
      </c>
      <c r="N78" s="37" t="s">
        <v>165</v>
      </c>
      <c r="O78" s="70"/>
      <c r="P78" s="37" t="s">
        <v>165</v>
      </c>
      <c r="Q78" s="80"/>
      <c r="R78" s="62"/>
    </row>
    <row r="79" spans="1:19" s="33" customFormat="1" ht="13.7" customHeight="1" x14ac:dyDescent="0.2">
      <c r="B79" s="43" t="s">
        <v>629</v>
      </c>
      <c r="C79" s="34" t="s">
        <v>630</v>
      </c>
      <c r="D79" s="34" t="s">
        <v>272</v>
      </c>
      <c r="E79" s="35">
        <v>120</v>
      </c>
      <c r="F79" s="126" t="str">
        <f ca="1">INDIRECT("REF!B"&amp;MATCH(E79,REF!A:A,0))</f>
        <v>ESR1</v>
      </c>
      <c r="G79" s="40" t="s">
        <v>223</v>
      </c>
      <c r="H79" s="37" t="s">
        <v>123</v>
      </c>
      <c r="I79" s="35" t="s">
        <v>124</v>
      </c>
      <c r="J79" s="35" t="s">
        <v>125</v>
      </c>
      <c r="K79" s="35"/>
      <c r="L79" s="35" t="s">
        <v>126</v>
      </c>
      <c r="M79" s="103" t="s">
        <v>633</v>
      </c>
      <c r="N79" s="37" t="s">
        <v>165</v>
      </c>
      <c r="O79" s="70"/>
      <c r="P79" s="37" t="s">
        <v>165</v>
      </c>
      <c r="Q79" s="80"/>
      <c r="R79" s="62"/>
    </row>
    <row r="80" spans="1:19" s="33" customFormat="1" ht="13.7" customHeight="1" x14ac:dyDescent="0.2">
      <c r="B80" s="43"/>
      <c r="C80" s="34"/>
      <c r="D80" s="34"/>
      <c r="E80" s="35">
        <v>122</v>
      </c>
      <c r="F80" s="126" t="str">
        <f ca="1">INDIRECT("REF!B"&amp;MATCH(E80,REF!A:A,0))</f>
        <v>ESR0</v>
      </c>
      <c r="G80" s="40" t="s">
        <v>223</v>
      </c>
      <c r="H80" s="37" t="s">
        <v>123</v>
      </c>
      <c r="I80" s="35" t="s">
        <v>124</v>
      </c>
      <c r="J80" s="35" t="s">
        <v>125</v>
      </c>
      <c r="K80" s="35"/>
      <c r="L80" s="35"/>
      <c r="M80" s="103"/>
      <c r="N80" s="37" t="s">
        <v>165</v>
      </c>
      <c r="O80" s="70"/>
      <c r="P80" s="37" t="s">
        <v>165</v>
      </c>
      <c r="Q80" s="80"/>
      <c r="R80" s="62"/>
    </row>
    <row r="81" spans="1:18" s="33" customFormat="1" x14ac:dyDescent="0.2">
      <c r="B81" s="43"/>
      <c r="C81" s="39"/>
      <c r="D81" s="39"/>
      <c r="E81" s="35"/>
      <c r="F81" s="35"/>
      <c r="G81" s="40"/>
      <c r="H81" s="40"/>
      <c r="I81" s="40"/>
      <c r="J81" s="40"/>
      <c r="K81" s="40"/>
      <c r="L81" s="40"/>
      <c r="M81" s="91"/>
      <c r="N81" s="37" t="s">
        <v>165</v>
      </c>
      <c r="O81" s="71"/>
      <c r="P81" s="37" t="s">
        <v>165</v>
      </c>
      <c r="Q81" s="80"/>
      <c r="R81" s="62"/>
    </row>
    <row r="82" spans="1:18" s="9" customFormat="1" ht="18" x14ac:dyDescent="0.2">
      <c r="B82" s="180" t="s">
        <v>181</v>
      </c>
      <c r="C82" s="181"/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2"/>
      <c r="R82" s="63"/>
    </row>
    <row r="83" spans="1:18" s="5" customFormat="1" x14ac:dyDescent="0.2">
      <c r="A83" s="33"/>
      <c r="B83" s="43" t="s">
        <v>632</v>
      </c>
      <c r="C83" s="36" t="s">
        <v>631</v>
      </c>
      <c r="D83" s="36" t="s">
        <v>273</v>
      </c>
      <c r="E83" s="37">
        <v>124</v>
      </c>
      <c r="F83" s="126" t="str">
        <f ca="1">INDIRECT("REF!B"&amp;MATCH(E83,REF!A:A,0))</f>
        <v>P20.6</v>
      </c>
      <c r="G83" s="38"/>
      <c r="H83" s="35" t="s">
        <v>115</v>
      </c>
      <c r="I83" s="37" t="s">
        <v>139</v>
      </c>
      <c r="J83" s="37" t="s">
        <v>141</v>
      </c>
      <c r="K83" s="37"/>
      <c r="L83" s="37" t="s">
        <v>138</v>
      </c>
      <c r="M83" s="91" t="s">
        <v>194</v>
      </c>
      <c r="N83" s="37" t="s">
        <v>813</v>
      </c>
      <c r="O83" s="70"/>
      <c r="P83" s="37" t="s">
        <v>165</v>
      </c>
      <c r="Q83" s="80"/>
      <c r="R83" s="62"/>
    </row>
    <row r="84" spans="1:18" s="33" customFormat="1" x14ac:dyDescent="0.2">
      <c r="B84" s="43" t="s">
        <v>637</v>
      </c>
      <c r="C84" s="36" t="s">
        <v>634</v>
      </c>
      <c r="D84" s="36" t="s">
        <v>307</v>
      </c>
      <c r="E84" s="37">
        <v>117</v>
      </c>
      <c r="F84" s="126" t="str">
        <f ca="1">INDIRECT("REF!B"&amp;MATCH(E84,REF!A:A,0))</f>
        <v>P20.1</v>
      </c>
      <c r="G84" s="38"/>
      <c r="H84" s="35" t="s">
        <v>198</v>
      </c>
      <c r="I84" s="37" t="s">
        <v>82</v>
      </c>
      <c r="J84" s="37" t="s">
        <v>85</v>
      </c>
      <c r="K84" s="37" t="s">
        <v>263</v>
      </c>
      <c r="L84" s="37" t="s">
        <v>118</v>
      </c>
      <c r="M84" s="91" t="s">
        <v>195</v>
      </c>
      <c r="N84" s="37" t="s">
        <v>813</v>
      </c>
      <c r="O84" s="70"/>
      <c r="P84" s="37" t="s">
        <v>165</v>
      </c>
      <c r="Q84" s="80"/>
      <c r="R84" s="62"/>
    </row>
    <row r="85" spans="1:18" s="33" customFormat="1" x14ac:dyDescent="0.2">
      <c r="B85" s="43" t="s">
        <v>636</v>
      </c>
      <c r="C85" s="34" t="s">
        <v>635</v>
      </c>
      <c r="D85" s="34" t="s">
        <v>274</v>
      </c>
      <c r="E85" s="35">
        <v>89</v>
      </c>
      <c r="F85" s="126" t="str">
        <f ca="1">INDIRECT("REF!B"&amp;MATCH(E85,REF!A:A,0))</f>
        <v>P23.0</v>
      </c>
      <c r="G85" s="35"/>
      <c r="H85" s="35" t="s">
        <v>137</v>
      </c>
      <c r="I85" s="40" t="s">
        <v>114</v>
      </c>
      <c r="J85" s="37" t="s">
        <v>131</v>
      </c>
      <c r="K85" s="37"/>
      <c r="L85" s="35" t="s">
        <v>199</v>
      </c>
      <c r="M85" s="91" t="s">
        <v>326</v>
      </c>
      <c r="N85" s="37" t="s">
        <v>813</v>
      </c>
      <c r="O85" s="70"/>
      <c r="P85" s="37" t="s">
        <v>165</v>
      </c>
      <c r="Q85" s="80"/>
      <c r="R85" s="62"/>
    </row>
    <row r="86" spans="1:18" s="5" customFormat="1" ht="14.25" customHeight="1" x14ac:dyDescent="0.2">
      <c r="A86" s="33"/>
      <c r="B86" s="43" t="s">
        <v>639</v>
      </c>
      <c r="C86" s="34" t="s">
        <v>638</v>
      </c>
      <c r="D86" s="34" t="s">
        <v>275</v>
      </c>
      <c r="E86" s="35">
        <v>136</v>
      </c>
      <c r="F86" s="126" t="str">
        <f ca="1">INDIRECT("REF!B"&amp;MATCH(E86,REF!A:A,0))</f>
        <v>P15.3</v>
      </c>
      <c r="G86" s="35" t="s">
        <v>223</v>
      </c>
      <c r="H86" s="35" t="s">
        <v>115</v>
      </c>
      <c r="I86" s="35" t="s">
        <v>105</v>
      </c>
      <c r="J86" s="35" t="s">
        <v>107</v>
      </c>
      <c r="K86" s="35"/>
      <c r="L86" s="35" t="s">
        <v>199</v>
      </c>
      <c r="M86" s="105" t="s">
        <v>264</v>
      </c>
      <c r="N86" s="37" t="s">
        <v>813</v>
      </c>
      <c r="O86" s="70"/>
      <c r="P86" s="37" t="s">
        <v>165</v>
      </c>
      <c r="Q86" s="80"/>
      <c r="R86" s="62"/>
    </row>
    <row r="87" spans="1:18" s="33" customFormat="1" ht="13.7" customHeight="1" x14ac:dyDescent="0.2">
      <c r="B87" s="43" t="s">
        <v>641</v>
      </c>
      <c r="C87" s="34" t="s">
        <v>640</v>
      </c>
      <c r="D87" s="34" t="s">
        <v>276</v>
      </c>
      <c r="E87" s="35">
        <v>137</v>
      </c>
      <c r="F87" s="126" t="str">
        <f ca="1">INDIRECT("REF!B"&amp;MATCH(E87,REF!A:A,0))</f>
        <v>P15.4</v>
      </c>
      <c r="G87" s="35" t="s">
        <v>223</v>
      </c>
      <c r="H87" s="35" t="s">
        <v>115</v>
      </c>
      <c r="I87" s="40" t="s">
        <v>29</v>
      </c>
      <c r="J87" s="35" t="s">
        <v>104</v>
      </c>
      <c r="K87" s="35"/>
      <c r="L87" s="35" t="s">
        <v>122</v>
      </c>
      <c r="M87" s="109" t="s">
        <v>235</v>
      </c>
      <c r="N87" s="37" t="s">
        <v>813</v>
      </c>
      <c r="O87" s="70"/>
      <c r="P87" s="37" t="s">
        <v>165</v>
      </c>
      <c r="Q87" s="80"/>
      <c r="R87" s="62"/>
    </row>
    <row r="88" spans="1:18" s="33" customFormat="1" x14ac:dyDescent="0.2">
      <c r="B88" s="43" t="s">
        <v>642</v>
      </c>
      <c r="C88" s="132" t="s">
        <v>736</v>
      </c>
      <c r="D88" s="34" t="s">
        <v>277</v>
      </c>
      <c r="E88" s="35">
        <v>8</v>
      </c>
      <c r="F88" s="126" t="str">
        <f ca="1">INDIRECT("REF!B"&amp;MATCH(E88,REF!A:A,0))</f>
        <v>P02.7</v>
      </c>
      <c r="G88" s="40" t="s">
        <v>223</v>
      </c>
      <c r="H88" s="35" t="s">
        <v>115</v>
      </c>
      <c r="I88" s="35" t="s">
        <v>81</v>
      </c>
      <c r="J88" s="35" t="s">
        <v>85</v>
      </c>
      <c r="K88" s="35"/>
      <c r="L88" s="35" t="s">
        <v>199</v>
      </c>
      <c r="M88" s="100" t="s">
        <v>234</v>
      </c>
      <c r="N88" s="37" t="s">
        <v>813</v>
      </c>
      <c r="O88" s="70"/>
      <c r="P88" s="37" t="s">
        <v>165</v>
      </c>
      <c r="Q88" s="80"/>
      <c r="R88" s="62"/>
    </row>
    <row r="89" spans="1:18" s="33" customFormat="1" x14ac:dyDescent="0.2">
      <c r="B89" s="43" t="s">
        <v>646</v>
      </c>
      <c r="C89" s="34" t="s">
        <v>647</v>
      </c>
      <c r="D89" s="34" t="s">
        <v>646</v>
      </c>
      <c r="E89" s="35">
        <v>86</v>
      </c>
      <c r="F89" s="126" t="str">
        <f ca="1">INDIRECT("REF!B"&amp;MATCH(E89,REF!A:A,0))</f>
        <v>P32.2</v>
      </c>
      <c r="G89" s="35"/>
      <c r="H89" s="35" t="s">
        <v>115</v>
      </c>
      <c r="I89" s="40" t="s">
        <v>81</v>
      </c>
      <c r="J89" s="37" t="s">
        <v>85</v>
      </c>
      <c r="K89" s="37"/>
      <c r="L89" s="35" t="s">
        <v>199</v>
      </c>
      <c r="M89" s="91" t="s">
        <v>144</v>
      </c>
      <c r="N89" s="37" t="s">
        <v>813</v>
      </c>
      <c r="O89" s="70"/>
      <c r="P89" s="37" t="s">
        <v>165</v>
      </c>
      <c r="Q89" s="80"/>
      <c r="R89" s="62"/>
    </row>
    <row r="90" spans="1:18" s="33" customFormat="1" x14ac:dyDescent="0.2">
      <c r="B90" s="43" t="s">
        <v>645</v>
      </c>
      <c r="C90" s="34" t="s">
        <v>648</v>
      </c>
      <c r="D90" s="34" t="s">
        <v>645</v>
      </c>
      <c r="E90" s="35">
        <v>87</v>
      </c>
      <c r="F90" s="126" t="str">
        <f ca="1">INDIRECT("REF!B"&amp;MATCH(E90,REF!A:A,0))</f>
        <v>P32.3</v>
      </c>
      <c r="G90" s="35"/>
      <c r="H90" s="35" t="s">
        <v>115</v>
      </c>
      <c r="I90" s="40" t="s">
        <v>81</v>
      </c>
      <c r="J90" s="37" t="s">
        <v>85</v>
      </c>
      <c r="K90" s="37"/>
      <c r="L90" s="35" t="s">
        <v>199</v>
      </c>
      <c r="M90" s="91" t="s">
        <v>251</v>
      </c>
      <c r="N90" s="37" t="s">
        <v>813</v>
      </c>
      <c r="O90" s="70"/>
      <c r="P90" s="37" t="s">
        <v>165</v>
      </c>
      <c r="Q90" s="80"/>
      <c r="R90" s="62"/>
    </row>
    <row r="91" spans="1:18" s="33" customFormat="1" x14ac:dyDescent="0.2">
      <c r="B91" s="131" t="s">
        <v>737</v>
      </c>
      <c r="C91" s="36" t="s">
        <v>650</v>
      </c>
      <c r="D91" s="36" t="s">
        <v>649</v>
      </c>
      <c r="E91" s="37">
        <v>139</v>
      </c>
      <c r="F91" s="126" t="str">
        <f ca="1">INDIRECT("REF!B"&amp;MATCH(E91,REF!A:A,0))</f>
        <v>P15.6</v>
      </c>
      <c r="G91" s="38"/>
      <c r="H91" s="35" t="s">
        <v>198</v>
      </c>
      <c r="I91" s="37" t="s">
        <v>184</v>
      </c>
      <c r="J91" s="37" t="s">
        <v>185</v>
      </c>
      <c r="K91" s="37"/>
      <c r="L91" s="37" t="s">
        <v>199</v>
      </c>
      <c r="M91" s="91" t="s">
        <v>230</v>
      </c>
      <c r="N91" s="37" t="s">
        <v>813</v>
      </c>
      <c r="O91" s="70"/>
      <c r="P91" s="37" t="s">
        <v>165</v>
      </c>
      <c r="Q91" s="80"/>
      <c r="R91" s="62"/>
    </row>
    <row r="92" spans="1:18" s="33" customFormat="1" x14ac:dyDescent="0.2">
      <c r="B92" s="43" t="s">
        <v>652</v>
      </c>
      <c r="C92" s="36" t="s">
        <v>651</v>
      </c>
      <c r="D92" s="36" t="s">
        <v>278</v>
      </c>
      <c r="E92" s="37">
        <v>125</v>
      </c>
      <c r="F92" s="126" t="str">
        <f ca="1">INDIRECT("REF!B"&amp;MATCH(E92,REF!A:A,0))</f>
        <v>P20.7</v>
      </c>
      <c r="G92" s="38"/>
      <c r="H92" s="35" t="s">
        <v>198</v>
      </c>
      <c r="I92" s="37" t="s">
        <v>184</v>
      </c>
      <c r="J92" s="37" t="s">
        <v>185</v>
      </c>
      <c r="K92" s="37"/>
      <c r="L92" s="37" t="s">
        <v>199</v>
      </c>
      <c r="M92" s="91" t="s">
        <v>231</v>
      </c>
      <c r="N92" s="37" t="s">
        <v>813</v>
      </c>
      <c r="O92" s="70"/>
      <c r="P92" s="37" t="s">
        <v>165</v>
      </c>
      <c r="Q92" s="80"/>
      <c r="R92" s="62"/>
    </row>
    <row r="93" spans="1:18" s="33" customFormat="1" x14ac:dyDescent="0.2">
      <c r="B93" s="43" t="s">
        <v>655</v>
      </c>
      <c r="C93" s="34" t="s">
        <v>653</v>
      </c>
      <c r="D93" s="34" t="s">
        <v>279</v>
      </c>
      <c r="E93" s="35">
        <v>151</v>
      </c>
      <c r="F93" s="126" t="str">
        <f ca="1">INDIRECT("REF!B"&amp;MATCH(E93,REF!A:A,0))</f>
        <v>P14.9</v>
      </c>
      <c r="G93" s="35"/>
      <c r="H93" s="35" t="s">
        <v>115</v>
      </c>
      <c r="I93" s="35" t="s">
        <v>81</v>
      </c>
      <c r="J93" s="35" t="s">
        <v>85</v>
      </c>
      <c r="K93" s="35"/>
      <c r="L93" s="35" t="s">
        <v>183</v>
      </c>
      <c r="M93" s="109" t="s">
        <v>643</v>
      </c>
      <c r="N93" s="37" t="s">
        <v>813</v>
      </c>
      <c r="O93" s="70"/>
      <c r="P93" s="37" t="s">
        <v>165</v>
      </c>
      <c r="Q93" s="81"/>
      <c r="R93" s="62"/>
    </row>
    <row r="94" spans="1:18" s="33" customFormat="1" x14ac:dyDescent="0.2">
      <c r="B94" s="43" t="s">
        <v>656</v>
      </c>
      <c r="C94" s="34" t="s">
        <v>654</v>
      </c>
      <c r="D94" s="34" t="s">
        <v>280</v>
      </c>
      <c r="E94" s="35">
        <v>152</v>
      </c>
      <c r="F94" s="126" t="str">
        <f ca="1">INDIRECT("REF!B"&amp;MATCH(E94,REF!A:A,0))</f>
        <v>P14.10</v>
      </c>
      <c r="G94" s="35"/>
      <c r="H94" s="35" t="s">
        <v>115</v>
      </c>
      <c r="I94" s="35" t="s">
        <v>81</v>
      </c>
      <c r="J94" s="35" t="s">
        <v>85</v>
      </c>
      <c r="K94" s="35"/>
      <c r="L94" s="35" t="s">
        <v>183</v>
      </c>
      <c r="M94" s="109" t="s">
        <v>644</v>
      </c>
      <c r="N94" s="37" t="s">
        <v>813</v>
      </c>
      <c r="O94" s="70"/>
      <c r="P94" s="37" t="s">
        <v>165</v>
      </c>
      <c r="Q94" s="81"/>
      <c r="R94" s="62"/>
    </row>
    <row r="95" spans="1:18" s="33" customFormat="1" x14ac:dyDescent="0.2">
      <c r="B95" s="43" t="s">
        <v>659</v>
      </c>
      <c r="C95" s="34" t="s">
        <v>657</v>
      </c>
      <c r="D95" s="34" t="s">
        <v>281</v>
      </c>
      <c r="E95" s="35">
        <v>150</v>
      </c>
      <c r="F95" s="126" t="str">
        <f ca="1">INDIRECT("REF!B"&amp;MATCH(E95,REF!A:A,0))</f>
        <v>P14.8</v>
      </c>
      <c r="G95" s="35"/>
      <c r="H95" s="35" t="s">
        <v>115</v>
      </c>
      <c r="I95" s="35" t="s">
        <v>81</v>
      </c>
      <c r="J95" s="35" t="s">
        <v>85</v>
      </c>
      <c r="K95" s="35"/>
      <c r="L95" s="35" t="s">
        <v>183</v>
      </c>
      <c r="M95" s="109" t="s">
        <v>236</v>
      </c>
      <c r="N95" s="37" t="s">
        <v>813</v>
      </c>
      <c r="O95" s="70"/>
      <c r="P95" s="37" t="s">
        <v>165</v>
      </c>
      <c r="Q95" s="81"/>
      <c r="R95" s="62"/>
    </row>
    <row r="96" spans="1:18" s="33" customFormat="1" x14ac:dyDescent="0.2">
      <c r="B96" s="43" t="s">
        <v>660</v>
      </c>
      <c r="C96" s="34" t="s">
        <v>658</v>
      </c>
      <c r="D96" s="34" t="s">
        <v>282</v>
      </c>
      <c r="E96" s="35">
        <v>149</v>
      </c>
      <c r="F96" s="126" t="str">
        <f ca="1">INDIRECT("REF!B"&amp;MATCH(E96,REF!A:A,0))</f>
        <v>P14.7</v>
      </c>
      <c r="G96" s="35"/>
      <c r="H96" s="35" t="s">
        <v>115</v>
      </c>
      <c r="I96" s="35" t="s">
        <v>81</v>
      </c>
      <c r="J96" s="35" t="s">
        <v>85</v>
      </c>
      <c r="K96" s="35"/>
      <c r="L96" s="35" t="s">
        <v>183</v>
      </c>
      <c r="M96" s="109" t="s">
        <v>256</v>
      </c>
      <c r="N96" s="37" t="s">
        <v>813</v>
      </c>
      <c r="O96" s="70"/>
      <c r="P96" s="37" t="s">
        <v>165</v>
      </c>
      <c r="Q96" s="81"/>
      <c r="R96" s="62"/>
    </row>
    <row r="97" spans="1:20" s="33" customFormat="1" x14ac:dyDescent="0.2">
      <c r="B97" s="43" t="s">
        <v>663</v>
      </c>
      <c r="C97" s="34" t="s">
        <v>661</v>
      </c>
      <c r="D97" s="34" t="s">
        <v>283</v>
      </c>
      <c r="E97" s="35">
        <v>156</v>
      </c>
      <c r="F97" s="126" t="str">
        <f ca="1">INDIRECT("REF!B"&amp;MATCH(E97,REF!A:A,0))</f>
        <v>P13.0</v>
      </c>
      <c r="G97" s="35"/>
      <c r="H97" s="35" t="s">
        <v>115</v>
      </c>
      <c r="I97" s="35" t="s">
        <v>242</v>
      </c>
      <c r="J97" s="35" t="s">
        <v>85</v>
      </c>
      <c r="K97" s="35"/>
      <c r="L97" s="35" t="s">
        <v>183</v>
      </c>
      <c r="M97" s="109" t="s">
        <v>244</v>
      </c>
      <c r="N97" s="37" t="s">
        <v>813</v>
      </c>
      <c r="O97" s="70"/>
      <c r="P97" s="37" t="s">
        <v>165</v>
      </c>
      <c r="Q97" s="81"/>
      <c r="R97" s="62"/>
    </row>
    <row r="98" spans="1:20" s="33" customFormat="1" x14ac:dyDescent="0.2">
      <c r="B98" s="43" t="s">
        <v>664</v>
      </c>
      <c r="C98" s="34" t="s">
        <v>662</v>
      </c>
      <c r="D98" s="34" t="s">
        <v>284</v>
      </c>
      <c r="E98" s="35">
        <v>159</v>
      </c>
      <c r="F98" s="126" t="str">
        <f ca="1">INDIRECT("REF!B"&amp;MATCH(E98,REF!A:A,0))</f>
        <v>P13.3</v>
      </c>
      <c r="G98" s="35"/>
      <c r="H98" s="35" t="s">
        <v>115</v>
      </c>
      <c r="I98" s="35" t="s">
        <v>242</v>
      </c>
      <c r="J98" s="35" t="s">
        <v>85</v>
      </c>
      <c r="K98" s="35"/>
      <c r="L98" s="35" t="s">
        <v>183</v>
      </c>
      <c r="M98" s="109" t="s">
        <v>243</v>
      </c>
      <c r="N98" s="37" t="s">
        <v>813</v>
      </c>
      <c r="O98" s="70"/>
      <c r="P98" s="37" t="s">
        <v>165</v>
      </c>
      <c r="Q98" s="81"/>
      <c r="R98" s="62"/>
    </row>
    <row r="99" spans="1:20" s="33" customFormat="1" x14ac:dyDescent="0.2">
      <c r="B99" s="43" t="s">
        <v>667</v>
      </c>
      <c r="C99" s="36" t="s">
        <v>665</v>
      </c>
      <c r="D99" s="36" t="s">
        <v>667</v>
      </c>
      <c r="E99" s="37">
        <v>106</v>
      </c>
      <c r="F99" s="126" t="str">
        <f ca="1">INDIRECT("REF!B"&amp;MATCH(E99,REF!A:A,0))</f>
        <v>P21.1</v>
      </c>
      <c r="G99" s="38"/>
      <c r="H99" s="35" t="s">
        <v>115</v>
      </c>
      <c r="I99" s="37" t="s">
        <v>81</v>
      </c>
      <c r="J99" s="37" t="s">
        <v>85</v>
      </c>
      <c r="K99" s="37"/>
      <c r="L99" s="35" t="s">
        <v>183</v>
      </c>
      <c r="M99" s="109"/>
      <c r="N99" s="37" t="s">
        <v>813</v>
      </c>
      <c r="O99" s="70"/>
      <c r="P99" s="37" t="s">
        <v>165</v>
      </c>
      <c r="Q99" s="80"/>
      <c r="R99" s="62"/>
    </row>
    <row r="100" spans="1:20" s="33" customFormat="1" x14ac:dyDescent="0.2">
      <c r="B100" s="43" t="s">
        <v>668</v>
      </c>
      <c r="C100" s="36" t="s">
        <v>671</v>
      </c>
      <c r="D100" s="36" t="s">
        <v>669</v>
      </c>
      <c r="E100" s="37">
        <v>109</v>
      </c>
      <c r="F100" s="126" t="str">
        <f ca="1">INDIRECT("REF!B"&amp;MATCH(E100,REF!A:A,0))</f>
        <v>P21.4</v>
      </c>
      <c r="G100" s="38"/>
      <c r="H100" s="35" t="s">
        <v>115</v>
      </c>
      <c r="I100" s="37" t="s">
        <v>81</v>
      </c>
      <c r="J100" s="37" t="s">
        <v>85</v>
      </c>
      <c r="K100" s="37"/>
      <c r="L100" s="35" t="s">
        <v>183</v>
      </c>
      <c r="M100" s="109"/>
      <c r="N100" s="37" t="s">
        <v>813</v>
      </c>
      <c r="O100" s="70"/>
      <c r="P100" s="37" t="s">
        <v>165</v>
      </c>
      <c r="Q100" s="80"/>
      <c r="R100" s="62"/>
    </row>
    <row r="101" spans="1:20" s="33" customFormat="1" x14ac:dyDescent="0.2">
      <c r="B101" s="43" t="s">
        <v>672</v>
      </c>
      <c r="C101" s="43" t="s">
        <v>666</v>
      </c>
      <c r="D101" s="36" t="s">
        <v>670</v>
      </c>
      <c r="E101" s="37">
        <v>110</v>
      </c>
      <c r="F101" s="126" t="str">
        <f ca="1">INDIRECT("REF!B"&amp;MATCH(E101,REF!A:A,0))</f>
        <v>P21.5</v>
      </c>
      <c r="G101" s="38"/>
      <c r="H101" s="35" t="s">
        <v>115</v>
      </c>
      <c r="I101" s="37" t="s">
        <v>81</v>
      </c>
      <c r="J101" s="37" t="s">
        <v>85</v>
      </c>
      <c r="K101" s="37"/>
      <c r="L101" s="35" t="s">
        <v>183</v>
      </c>
      <c r="M101" s="109"/>
      <c r="N101" s="37" t="s">
        <v>813</v>
      </c>
      <c r="O101" s="70"/>
      <c r="P101" s="37" t="s">
        <v>165</v>
      </c>
      <c r="Q101" s="80"/>
      <c r="R101" s="62"/>
    </row>
    <row r="102" spans="1:20" s="33" customFormat="1" x14ac:dyDescent="0.2">
      <c r="B102" s="43" t="s">
        <v>674</v>
      </c>
      <c r="C102" s="36" t="s">
        <v>675</v>
      </c>
      <c r="D102" s="36" t="s">
        <v>673</v>
      </c>
      <c r="E102" s="37">
        <v>135</v>
      </c>
      <c r="F102" s="126" t="str">
        <f ca="1">INDIRECT("REF!B"&amp;MATCH(E102,REF!A:A,0))</f>
        <v>P15.2</v>
      </c>
      <c r="G102" s="38"/>
      <c r="H102" s="35" t="s">
        <v>115</v>
      </c>
      <c r="I102" s="37" t="s">
        <v>81</v>
      </c>
      <c r="J102" s="37" t="s">
        <v>85</v>
      </c>
      <c r="K102" s="37"/>
      <c r="L102" s="35" t="s">
        <v>183</v>
      </c>
      <c r="M102" s="109" t="s">
        <v>327</v>
      </c>
      <c r="N102" s="37" t="s">
        <v>813</v>
      </c>
      <c r="O102" s="70"/>
      <c r="P102" s="37" t="s">
        <v>165</v>
      </c>
      <c r="Q102" s="80"/>
      <c r="R102" s="62"/>
    </row>
    <row r="103" spans="1:20" s="158" customFormat="1" x14ac:dyDescent="0.2">
      <c r="B103" s="159" t="s">
        <v>757</v>
      </c>
      <c r="C103" s="136" t="s">
        <v>756</v>
      </c>
      <c r="D103" s="136" t="s">
        <v>755</v>
      </c>
      <c r="E103" s="134">
        <v>118</v>
      </c>
      <c r="F103" s="157" t="str">
        <f ca="1">INDIRECT("REF!B"&amp;MATCH(E103,REF!A:A,0))</f>
        <v>P20.2</v>
      </c>
      <c r="G103" s="134"/>
      <c r="H103" s="134" t="s">
        <v>137</v>
      </c>
      <c r="I103" s="134" t="s">
        <v>82</v>
      </c>
      <c r="J103" s="134" t="s">
        <v>754</v>
      </c>
      <c r="K103" s="134"/>
      <c r="L103" s="134" t="s">
        <v>183</v>
      </c>
      <c r="M103" s="160" t="s">
        <v>759</v>
      </c>
      <c r="N103" s="37" t="s">
        <v>165</v>
      </c>
      <c r="O103" s="161"/>
      <c r="P103" s="134"/>
      <c r="Q103" s="162"/>
      <c r="R103" s="163"/>
    </row>
    <row r="104" spans="1:20" s="33" customFormat="1" x14ac:dyDescent="0.2">
      <c r="B104" s="43"/>
      <c r="C104" s="34"/>
      <c r="D104" s="34"/>
      <c r="E104" s="35"/>
      <c r="F104" s="35"/>
      <c r="G104" s="35"/>
      <c r="H104" s="35"/>
      <c r="I104" s="40"/>
      <c r="J104" s="37"/>
      <c r="K104" s="37"/>
      <c r="L104" s="37"/>
      <c r="M104" s="91"/>
      <c r="N104" s="37" t="s">
        <v>165</v>
      </c>
      <c r="O104" s="70"/>
      <c r="P104" s="37" t="s">
        <v>165</v>
      </c>
      <c r="Q104" s="80"/>
      <c r="R104" s="62"/>
    </row>
    <row r="105" spans="1:20" s="9" customFormat="1" ht="18" x14ac:dyDescent="0.2">
      <c r="B105" s="180" t="s">
        <v>134</v>
      </c>
      <c r="C105" s="181"/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2"/>
      <c r="R105" s="63"/>
      <c r="S105" s="33"/>
      <c r="T105" s="33"/>
    </row>
    <row r="106" spans="1:20" s="5" customFormat="1" x14ac:dyDescent="0.2">
      <c r="A106" s="33"/>
      <c r="B106" s="43" t="s">
        <v>676</v>
      </c>
      <c r="C106" s="34" t="s">
        <v>685</v>
      </c>
      <c r="D106" s="34" t="s">
        <v>686</v>
      </c>
      <c r="E106" s="35">
        <v>98</v>
      </c>
      <c r="F106" s="126" t="str">
        <f ca="1">INDIRECT("REF!B"&amp;MATCH(E106,REF!A:A,0))</f>
        <v>P22.3</v>
      </c>
      <c r="G106" s="35" t="s">
        <v>223</v>
      </c>
      <c r="H106" s="35" t="s">
        <v>98</v>
      </c>
      <c r="I106" s="35" t="s">
        <v>28</v>
      </c>
      <c r="J106" s="35" t="s">
        <v>102</v>
      </c>
      <c r="K106" s="35"/>
      <c r="L106" s="35"/>
      <c r="M106" s="106" t="s">
        <v>257</v>
      </c>
      <c r="N106" s="37" t="s">
        <v>165</v>
      </c>
      <c r="O106" s="70"/>
      <c r="P106" s="37" t="s">
        <v>165</v>
      </c>
      <c r="Q106" s="80"/>
      <c r="R106" s="62"/>
      <c r="S106" s="33"/>
      <c r="T106" s="33"/>
    </row>
    <row r="107" spans="1:20" s="5" customFormat="1" x14ac:dyDescent="0.2">
      <c r="A107" s="33"/>
      <c r="B107" s="43" t="s">
        <v>678</v>
      </c>
      <c r="C107" s="34" t="s">
        <v>677</v>
      </c>
      <c r="D107" s="34" t="s">
        <v>687</v>
      </c>
      <c r="E107" s="35">
        <v>95</v>
      </c>
      <c r="F107" s="126" t="str">
        <f ca="1">INDIRECT("REF!B"&amp;MATCH(E107,REF!A:A,0))</f>
        <v>P22.0</v>
      </c>
      <c r="G107" s="35" t="s">
        <v>223</v>
      </c>
      <c r="H107" s="35" t="s">
        <v>98</v>
      </c>
      <c r="I107" s="35" t="s">
        <v>28</v>
      </c>
      <c r="J107" s="35" t="s">
        <v>102</v>
      </c>
      <c r="K107" s="35"/>
      <c r="L107" s="35"/>
      <c r="M107" s="99" t="s">
        <v>113</v>
      </c>
      <c r="N107" s="37" t="s">
        <v>165</v>
      </c>
      <c r="O107" s="70"/>
      <c r="P107" s="37" t="s">
        <v>165</v>
      </c>
      <c r="Q107" s="80"/>
      <c r="R107" s="62"/>
    </row>
    <row r="108" spans="1:20" s="33" customFormat="1" x14ac:dyDescent="0.2">
      <c r="B108" s="43" t="s">
        <v>680</v>
      </c>
      <c r="C108" s="34" t="s">
        <v>679</v>
      </c>
      <c r="D108" s="34" t="s">
        <v>688</v>
      </c>
      <c r="E108" s="35">
        <v>96</v>
      </c>
      <c r="F108" s="126" t="str">
        <f ca="1">INDIRECT("REF!B"&amp;MATCH(E108,REF!A:A,0))</f>
        <v>P22.1</v>
      </c>
      <c r="G108" s="35" t="s">
        <v>223</v>
      </c>
      <c r="H108" s="35" t="s">
        <v>98</v>
      </c>
      <c r="I108" s="35" t="s">
        <v>83</v>
      </c>
      <c r="J108" s="35" t="s">
        <v>102</v>
      </c>
      <c r="K108" s="35"/>
      <c r="L108" s="35"/>
      <c r="M108" s="99" t="s">
        <v>112</v>
      </c>
      <c r="N108" s="37" t="s">
        <v>165</v>
      </c>
      <c r="O108" s="70"/>
      <c r="P108" s="37" t="s">
        <v>165</v>
      </c>
      <c r="Q108" s="80"/>
      <c r="R108" s="62"/>
    </row>
    <row r="109" spans="1:20" s="33" customFormat="1" x14ac:dyDescent="0.2">
      <c r="B109" s="131" t="s">
        <v>738</v>
      </c>
      <c r="C109" s="34" t="s">
        <v>689</v>
      </c>
      <c r="D109" s="34" t="s">
        <v>681</v>
      </c>
      <c r="E109" s="35">
        <v>97</v>
      </c>
      <c r="F109" s="126" t="str">
        <f ca="1">INDIRECT("REF!B"&amp;MATCH(E109,REF!A:A,0))</f>
        <v>P22.2</v>
      </c>
      <c r="G109" s="35" t="s">
        <v>223</v>
      </c>
      <c r="H109" s="35" t="s">
        <v>98</v>
      </c>
      <c r="I109" s="35" t="s">
        <v>84</v>
      </c>
      <c r="J109" s="35" t="s">
        <v>102</v>
      </c>
      <c r="K109" s="35"/>
      <c r="L109" s="35"/>
      <c r="M109" s="99" t="s">
        <v>684</v>
      </c>
      <c r="N109" s="37" t="s">
        <v>165</v>
      </c>
      <c r="O109" s="70"/>
      <c r="P109" s="37" t="s">
        <v>165</v>
      </c>
      <c r="Q109" s="80"/>
      <c r="R109" s="62"/>
    </row>
    <row r="110" spans="1:20" s="5" customFormat="1" x14ac:dyDescent="0.2">
      <c r="A110" s="33"/>
      <c r="B110" s="131" t="s">
        <v>739</v>
      </c>
      <c r="C110" s="34" t="s">
        <v>690</v>
      </c>
      <c r="D110" s="34" t="s">
        <v>682</v>
      </c>
      <c r="E110" s="35">
        <v>90</v>
      </c>
      <c r="F110" s="126" t="str">
        <f ca="1">INDIRECT("REF!B"&amp;MATCH(E110,REF!A:A,0))</f>
        <v>P23.1</v>
      </c>
      <c r="G110" s="35" t="s">
        <v>223</v>
      </c>
      <c r="H110" s="35" t="s">
        <v>98</v>
      </c>
      <c r="I110" s="35" t="s">
        <v>84</v>
      </c>
      <c r="J110" s="35" t="s">
        <v>102</v>
      </c>
      <c r="K110" s="35"/>
      <c r="L110" s="35"/>
      <c r="M110" s="99" t="s">
        <v>683</v>
      </c>
      <c r="N110" s="37" t="s">
        <v>165</v>
      </c>
      <c r="O110" s="70"/>
      <c r="P110" s="37" t="s">
        <v>165</v>
      </c>
      <c r="Q110" s="80"/>
      <c r="R110" s="62"/>
    </row>
    <row r="111" spans="1:20" s="32" customFormat="1" x14ac:dyDescent="0.2">
      <c r="A111" s="33"/>
      <c r="B111" s="43" t="s">
        <v>696</v>
      </c>
      <c r="C111" s="34" t="s">
        <v>695</v>
      </c>
      <c r="D111" s="34" t="s">
        <v>691</v>
      </c>
      <c r="E111" s="35">
        <v>129</v>
      </c>
      <c r="F111" s="126" t="str">
        <f ca="1">INDIRECT("REF!B"&amp;MATCH(E111,REF!A:A,0))</f>
        <v>P20.11</v>
      </c>
      <c r="G111" s="35" t="s">
        <v>223</v>
      </c>
      <c r="H111" s="35" t="s">
        <v>110</v>
      </c>
      <c r="I111" s="35" t="s">
        <v>28</v>
      </c>
      <c r="J111" s="35" t="s">
        <v>109</v>
      </c>
      <c r="K111" s="35"/>
      <c r="L111" s="35"/>
      <c r="M111" s="106" t="s">
        <v>328</v>
      </c>
      <c r="N111" s="37" t="s">
        <v>165</v>
      </c>
      <c r="O111" s="70"/>
      <c r="P111" s="37" t="s">
        <v>165</v>
      </c>
      <c r="Q111" s="80"/>
      <c r="R111" s="62"/>
    </row>
    <row r="112" spans="1:20" s="5" customFormat="1" x14ac:dyDescent="0.2">
      <c r="A112" s="33"/>
      <c r="B112" s="43" t="s">
        <v>698</v>
      </c>
      <c r="C112" s="34" t="s">
        <v>697</v>
      </c>
      <c r="D112" s="34" t="s">
        <v>692</v>
      </c>
      <c r="E112" s="35">
        <v>130</v>
      </c>
      <c r="F112" s="126" t="str">
        <f ca="1">INDIRECT("REF!B"&amp;MATCH(E112,REF!A:A,0))</f>
        <v>P20.12</v>
      </c>
      <c r="G112" s="35" t="s">
        <v>223</v>
      </c>
      <c r="H112" s="35" t="s">
        <v>110</v>
      </c>
      <c r="I112" s="35" t="s">
        <v>111</v>
      </c>
      <c r="J112" s="35" t="s">
        <v>109</v>
      </c>
      <c r="K112" s="35"/>
      <c r="L112" s="35"/>
      <c r="M112" s="99" t="s">
        <v>329</v>
      </c>
      <c r="N112" s="37" t="s">
        <v>165</v>
      </c>
      <c r="O112" s="70"/>
      <c r="P112" s="37" t="s">
        <v>165</v>
      </c>
      <c r="Q112" s="80"/>
      <c r="R112" s="62"/>
    </row>
    <row r="113" spans="1:18" s="32" customFormat="1" x14ac:dyDescent="0.2">
      <c r="A113" s="33"/>
      <c r="B113" s="43" t="s">
        <v>700</v>
      </c>
      <c r="C113" s="34" t="s">
        <v>699</v>
      </c>
      <c r="D113" s="34" t="s">
        <v>693</v>
      </c>
      <c r="E113" s="35">
        <v>132</v>
      </c>
      <c r="F113" s="126" t="str">
        <f ca="1">INDIRECT("REF!B"&amp;MATCH(E113,REF!A:A,0))</f>
        <v>P20.14</v>
      </c>
      <c r="G113" s="35" t="s">
        <v>223</v>
      </c>
      <c r="H113" s="35" t="s">
        <v>110</v>
      </c>
      <c r="I113" s="35" t="s">
        <v>28</v>
      </c>
      <c r="J113" s="35" t="s">
        <v>109</v>
      </c>
      <c r="K113" s="35"/>
      <c r="L113" s="35"/>
      <c r="M113" s="99" t="s">
        <v>330</v>
      </c>
      <c r="N113" s="37" t="s">
        <v>165</v>
      </c>
      <c r="O113" s="70"/>
      <c r="P113" s="37" t="s">
        <v>165</v>
      </c>
      <c r="Q113" s="80"/>
      <c r="R113" s="62"/>
    </row>
    <row r="114" spans="1:18" s="5" customFormat="1" x14ac:dyDescent="0.2">
      <c r="A114" s="33"/>
      <c r="B114" s="129" t="s">
        <v>702</v>
      </c>
      <c r="C114" s="46" t="s">
        <v>701</v>
      </c>
      <c r="D114" s="46" t="s">
        <v>694</v>
      </c>
      <c r="E114" s="35">
        <v>131</v>
      </c>
      <c r="F114" s="126" t="str">
        <f ca="1">INDIRECT("REF!B"&amp;MATCH(E114,REF!A:A,0))</f>
        <v>P20.13</v>
      </c>
      <c r="G114" s="35" t="s">
        <v>223</v>
      </c>
      <c r="H114" s="35" t="s">
        <v>110</v>
      </c>
      <c r="I114" s="35" t="s">
        <v>28</v>
      </c>
      <c r="J114" s="35" t="s">
        <v>109</v>
      </c>
      <c r="K114" s="35"/>
      <c r="L114" s="35"/>
      <c r="M114" s="99" t="s">
        <v>331</v>
      </c>
      <c r="N114" s="37" t="s">
        <v>165</v>
      </c>
      <c r="O114" s="70"/>
      <c r="P114" s="37" t="s">
        <v>165</v>
      </c>
      <c r="Q114" s="80"/>
      <c r="R114" s="62"/>
    </row>
    <row r="115" spans="1:18" s="5" customFormat="1" x14ac:dyDescent="0.2">
      <c r="A115" s="33"/>
      <c r="B115" s="43"/>
      <c r="C115" s="36"/>
      <c r="D115" s="36"/>
      <c r="E115" s="37"/>
      <c r="F115" s="38"/>
      <c r="G115" s="38"/>
      <c r="H115" s="37"/>
      <c r="I115" s="37"/>
      <c r="J115" s="37"/>
      <c r="K115" s="37"/>
      <c r="L115" s="37"/>
      <c r="M115" s="107"/>
      <c r="N115" s="37" t="s">
        <v>165</v>
      </c>
      <c r="O115" s="70"/>
      <c r="P115" s="37" t="s">
        <v>165</v>
      </c>
      <c r="Q115" s="80"/>
      <c r="R115" s="62"/>
    </row>
    <row r="116" spans="1:18" s="9" customFormat="1" ht="18" x14ac:dyDescent="0.2">
      <c r="B116" s="180" t="s">
        <v>135</v>
      </c>
      <c r="C116" s="181"/>
      <c r="D116" s="181"/>
      <c r="E116" s="181"/>
      <c r="F116" s="181"/>
      <c r="G116" s="181"/>
      <c r="H116" s="181"/>
      <c r="I116" s="181"/>
      <c r="J116" s="181"/>
      <c r="K116" s="181"/>
      <c r="L116" s="181"/>
      <c r="M116" s="181"/>
      <c r="N116" s="181"/>
      <c r="O116" s="181"/>
      <c r="P116" s="181"/>
      <c r="Q116" s="182"/>
      <c r="R116" s="63"/>
    </row>
    <row r="117" spans="1:18" s="5" customFormat="1" ht="12.75" x14ac:dyDescent="0.2">
      <c r="A117" s="33"/>
      <c r="B117" s="43" t="s">
        <v>707</v>
      </c>
      <c r="C117" s="34" t="s">
        <v>703</v>
      </c>
      <c r="D117" s="34" t="s">
        <v>285</v>
      </c>
      <c r="E117" s="35">
        <v>143</v>
      </c>
      <c r="F117" s="126" t="str">
        <f ca="1">INDIRECT("REF!B"&amp;MATCH(E117,REF!A:A,0))</f>
        <v>P14.1</v>
      </c>
      <c r="G117" s="35" t="s">
        <v>223</v>
      </c>
      <c r="H117" s="35" t="s">
        <v>99</v>
      </c>
      <c r="I117" s="35" t="s">
        <v>29</v>
      </c>
      <c r="J117" s="35" t="s">
        <v>85</v>
      </c>
      <c r="K117" s="35"/>
      <c r="L117" s="35"/>
      <c r="M117" s="187" t="s">
        <v>711</v>
      </c>
      <c r="N117" s="37" t="s">
        <v>165</v>
      </c>
      <c r="O117" s="70"/>
      <c r="P117" s="37" t="s">
        <v>165</v>
      </c>
      <c r="Q117" s="81" t="s">
        <v>172</v>
      </c>
      <c r="R117" s="62"/>
    </row>
    <row r="118" spans="1:18" s="5" customFormat="1" ht="12.75" x14ac:dyDescent="0.2">
      <c r="A118" s="33"/>
      <c r="B118" s="43" t="s">
        <v>708</v>
      </c>
      <c r="C118" s="34" t="s">
        <v>704</v>
      </c>
      <c r="D118" s="34" t="s">
        <v>286</v>
      </c>
      <c r="E118" s="35">
        <v>142</v>
      </c>
      <c r="F118" s="126" t="str">
        <f ca="1">INDIRECT("REF!B"&amp;MATCH(E118,REF!A:A,0))</f>
        <v>P14.0</v>
      </c>
      <c r="G118" s="35" t="s">
        <v>223</v>
      </c>
      <c r="H118" s="35" t="s">
        <v>99</v>
      </c>
      <c r="I118" s="35" t="s">
        <v>28</v>
      </c>
      <c r="J118" s="35" t="s">
        <v>85</v>
      </c>
      <c r="K118" s="35"/>
      <c r="L118" s="35"/>
      <c r="M118" s="188"/>
      <c r="N118" s="37" t="s">
        <v>165</v>
      </c>
      <c r="O118" s="70"/>
      <c r="P118" s="37" t="s">
        <v>165</v>
      </c>
      <c r="Q118" s="81" t="s">
        <v>172</v>
      </c>
      <c r="R118" s="62"/>
    </row>
    <row r="119" spans="1:18" s="5" customFormat="1" ht="12.75" customHeight="1" x14ac:dyDescent="0.2">
      <c r="A119" s="33"/>
      <c r="B119" s="43" t="s">
        <v>709</v>
      </c>
      <c r="C119" s="34" t="s">
        <v>705</v>
      </c>
      <c r="D119" s="34" t="s">
        <v>287</v>
      </c>
      <c r="E119" s="35">
        <v>134</v>
      </c>
      <c r="F119" s="126" t="str">
        <f ca="1">INDIRECT("REF!B"&amp;MATCH(E119,REF!A:A,0))</f>
        <v>P15.1</v>
      </c>
      <c r="G119" s="35" t="s">
        <v>223</v>
      </c>
      <c r="H119" s="35" t="s">
        <v>100</v>
      </c>
      <c r="I119" s="35" t="s">
        <v>29</v>
      </c>
      <c r="J119" s="35" t="s">
        <v>85</v>
      </c>
      <c r="K119" s="35"/>
      <c r="L119" s="35"/>
      <c r="M119" s="111" t="s">
        <v>75</v>
      </c>
      <c r="N119" s="37" t="s">
        <v>165</v>
      </c>
      <c r="O119" s="70"/>
      <c r="P119" s="37" t="s">
        <v>165</v>
      </c>
      <c r="Q119" s="80"/>
      <c r="R119" s="62"/>
    </row>
    <row r="120" spans="1:18" s="5" customFormat="1" ht="12.4" customHeight="1" x14ac:dyDescent="0.2">
      <c r="A120" s="33"/>
      <c r="B120" s="43" t="s">
        <v>710</v>
      </c>
      <c r="C120" s="34" t="s">
        <v>706</v>
      </c>
      <c r="D120" s="34" t="s">
        <v>288</v>
      </c>
      <c r="E120" s="35">
        <v>133</v>
      </c>
      <c r="F120" s="126" t="str">
        <f ca="1">INDIRECT("REF!B"&amp;MATCH(E120,REF!A:A,0))</f>
        <v>P15.0</v>
      </c>
      <c r="G120" s="35" t="s">
        <v>223</v>
      </c>
      <c r="H120" s="35" t="s">
        <v>100</v>
      </c>
      <c r="I120" s="35" t="s">
        <v>28</v>
      </c>
      <c r="J120" s="35" t="s">
        <v>85</v>
      </c>
      <c r="K120" s="35"/>
      <c r="L120" s="35"/>
      <c r="M120" s="112"/>
      <c r="N120" s="37" t="s">
        <v>165</v>
      </c>
      <c r="O120" s="70"/>
      <c r="P120" s="37" t="s">
        <v>165</v>
      </c>
      <c r="Q120" s="80"/>
      <c r="R120" s="62"/>
    </row>
    <row r="121" spans="1:18" s="33" customFormat="1" x14ac:dyDescent="0.2">
      <c r="B121" s="49"/>
      <c r="C121" s="48"/>
      <c r="D121" s="48"/>
      <c r="E121" s="40"/>
      <c r="F121" s="38"/>
      <c r="G121" s="50"/>
      <c r="H121" s="40"/>
      <c r="I121" s="40"/>
      <c r="J121" s="40"/>
      <c r="K121" s="40"/>
      <c r="L121" s="40"/>
      <c r="M121" s="109"/>
      <c r="N121" s="37" t="s">
        <v>165</v>
      </c>
      <c r="O121" s="72"/>
      <c r="P121" s="37" t="s">
        <v>165</v>
      </c>
      <c r="Q121" s="82"/>
      <c r="R121" s="62"/>
    </row>
    <row r="122" spans="1:18" s="5" customFormat="1" ht="18" x14ac:dyDescent="0.2">
      <c r="A122" s="33"/>
      <c r="B122" s="180" t="s">
        <v>136</v>
      </c>
      <c r="C122" s="181"/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2"/>
      <c r="R122" s="62"/>
    </row>
    <row r="123" spans="1:18" s="5" customFormat="1" x14ac:dyDescent="0.2">
      <c r="A123" s="33"/>
      <c r="B123" s="47" t="s">
        <v>76</v>
      </c>
      <c r="C123" s="48"/>
      <c r="D123" s="48"/>
      <c r="E123" s="40"/>
      <c r="F123" s="35"/>
      <c r="G123" s="40"/>
      <c r="H123" s="40" t="s">
        <v>200</v>
      </c>
      <c r="I123" s="40"/>
      <c r="J123" s="40"/>
      <c r="K123" s="40"/>
      <c r="L123" s="40"/>
      <c r="M123" s="91"/>
      <c r="N123" s="37" t="s">
        <v>165</v>
      </c>
      <c r="O123" s="72"/>
      <c r="P123" s="37" t="s">
        <v>165</v>
      </c>
      <c r="Q123" s="82"/>
      <c r="R123" s="62"/>
    </row>
    <row r="124" spans="1:18" s="5" customFormat="1" x14ac:dyDescent="0.2">
      <c r="A124" s="33"/>
      <c r="B124" s="47" t="s">
        <v>77</v>
      </c>
      <c r="C124" s="48"/>
      <c r="D124" s="48" t="s">
        <v>292</v>
      </c>
      <c r="E124" s="40">
        <v>112</v>
      </c>
      <c r="F124" s="157" t="str">
        <f ca="1">INDIRECT("REF!B"&amp;MATCH(E124,REF!A:A,0))</f>
        <v>TMS/DAP1</v>
      </c>
      <c r="G124" s="40" t="s">
        <v>223</v>
      </c>
      <c r="H124" s="40"/>
      <c r="I124" s="40"/>
      <c r="J124" s="40"/>
      <c r="K124" s="40"/>
      <c r="L124" s="40"/>
      <c r="M124" s="91" t="s">
        <v>86</v>
      </c>
      <c r="N124" s="37" t="s">
        <v>165</v>
      </c>
      <c r="O124" s="72"/>
      <c r="P124" s="37" t="s">
        <v>165</v>
      </c>
      <c r="Q124" s="82"/>
      <c r="R124" s="62"/>
    </row>
    <row r="125" spans="1:18" s="5" customFormat="1" x14ac:dyDescent="0.2">
      <c r="A125" s="33"/>
      <c r="B125" s="47" t="s">
        <v>78</v>
      </c>
      <c r="C125" s="48"/>
      <c r="D125" s="48"/>
      <c r="E125" s="40"/>
      <c r="F125" s="35"/>
      <c r="G125" s="40"/>
      <c r="H125" s="40"/>
      <c r="I125" s="40"/>
      <c r="J125" s="40"/>
      <c r="K125" s="40"/>
      <c r="L125" s="40"/>
      <c r="M125" s="91"/>
      <c r="N125" s="37" t="s">
        <v>165</v>
      </c>
      <c r="O125" s="72"/>
      <c r="P125" s="37" t="s">
        <v>165</v>
      </c>
      <c r="Q125" s="82"/>
      <c r="R125" s="62"/>
    </row>
    <row r="126" spans="1:18" s="5" customFormat="1" x14ac:dyDescent="0.2">
      <c r="A126" s="33"/>
      <c r="B126" s="47" t="s">
        <v>79</v>
      </c>
      <c r="C126" s="48"/>
      <c r="D126" s="48" t="s">
        <v>293</v>
      </c>
      <c r="E126" s="40">
        <v>115</v>
      </c>
      <c r="F126" s="157" t="str">
        <f ca="1">INDIRECT("REF!B"&amp;MATCH(E126,REF!A:A,0))</f>
        <v>TCK/DAP0</v>
      </c>
      <c r="G126" s="40" t="s">
        <v>223</v>
      </c>
      <c r="H126" s="40"/>
      <c r="I126" s="40"/>
      <c r="J126" s="40"/>
      <c r="K126" s="40"/>
      <c r="L126" s="40"/>
      <c r="M126" s="91" t="s">
        <v>87</v>
      </c>
      <c r="N126" s="37" t="s">
        <v>165</v>
      </c>
      <c r="O126" s="72"/>
      <c r="P126" s="37" t="s">
        <v>165</v>
      </c>
      <c r="Q126" s="82"/>
      <c r="R126" s="62"/>
    </row>
    <row r="127" spans="1:18" s="5" customFormat="1" x14ac:dyDescent="0.2">
      <c r="A127" s="33"/>
      <c r="B127" s="47" t="s">
        <v>145</v>
      </c>
      <c r="C127" s="48"/>
      <c r="D127" s="48"/>
      <c r="E127" s="40"/>
      <c r="F127" s="35"/>
      <c r="G127" s="40"/>
      <c r="H127" s="40"/>
      <c r="I127" s="40"/>
      <c r="J127" s="40"/>
      <c r="K127" s="40"/>
      <c r="L127" s="40"/>
      <c r="M127" s="91"/>
      <c r="N127" s="37" t="s">
        <v>165</v>
      </c>
      <c r="O127" s="72"/>
      <c r="P127" s="37" t="s">
        <v>165</v>
      </c>
      <c r="Q127" s="82"/>
      <c r="R127" s="62"/>
    </row>
    <row r="128" spans="1:18" s="5" customFormat="1" x14ac:dyDescent="0.2">
      <c r="A128" s="33"/>
      <c r="B128" s="47" t="s">
        <v>146</v>
      </c>
      <c r="C128" s="48"/>
      <c r="D128" s="48" t="s">
        <v>294</v>
      </c>
      <c r="E128" s="40">
        <v>113</v>
      </c>
      <c r="F128" s="157" t="str">
        <f ca="1">INDIRECT("REF!B"&amp;MATCH(E128,REF!A:A,0))</f>
        <v>P21.7/TDO/DAP2</v>
      </c>
      <c r="G128" s="40" t="s">
        <v>223</v>
      </c>
      <c r="H128" s="40"/>
      <c r="I128" s="40"/>
      <c r="J128" s="40"/>
      <c r="K128" s="40"/>
      <c r="L128" s="40"/>
      <c r="M128" s="91" t="s">
        <v>150</v>
      </c>
      <c r="N128" s="37" t="s">
        <v>165</v>
      </c>
      <c r="O128" s="72"/>
      <c r="P128" s="37" t="s">
        <v>165</v>
      </c>
      <c r="Q128" s="82"/>
      <c r="R128" s="62"/>
    </row>
    <row r="129" spans="1:18" s="5" customFormat="1" x14ac:dyDescent="0.2">
      <c r="A129" s="33"/>
      <c r="B129" s="47" t="s">
        <v>147</v>
      </c>
      <c r="C129" s="48"/>
      <c r="D129" s="48"/>
      <c r="E129" s="40"/>
      <c r="F129" s="35"/>
      <c r="G129" s="40"/>
      <c r="H129" s="40"/>
      <c r="I129" s="40"/>
      <c r="J129" s="40"/>
      <c r="K129" s="40"/>
      <c r="L129" s="40"/>
      <c r="M129" s="91"/>
      <c r="N129" s="37" t="s">
        <v>165</v>
      </c>
      <c r="O129" s="72"/>
      <c r="P129" s="37" t="s">
        <v>165</v>
      </c>
      <c r="Q129" s="82"/>
      <c r="R129" s="62"/>
    </row>
    <row r="130" spans="1:18" s="5" customFormat="1" x14ac:dyDescent="0.2">
      <c r="A130" s="33"/>
      <c r="B130" s="47" t="s">
        <v>148</v>
      </c>
      <c r="C130" s="48"/>
      <c r="D130" s="135" t="s">
        <v>741</v>
      </c>
      <c r="E130" s="40">
        <v>114</v>
      </c>
      <c r="F130" s="126" t="str">
        <f ca="1">INDIRECT("REF!B"&amp;MATCH(E130,REF!A:A,0))</f>
        <v>TRST</v>
      </c>
      <c r="G130" s="40" t="s">
        <v>223</v>
      </c>
      <c r="H130" s="40"/>
      <c r="I130" s="40"/>
      <c r="J130" s="40"/>
      <c r="K130" s="40"/>
      <c r="L130" s="40"/>
      <c r="M130" s="91" t="s">
        <v>152</v>
      </c>
      <c r="N130" s="37" t="s">
        <v>165</v>
      </c>
      <c r="O130" s="72"/>
      <c r="P130" s="37" t="s">
        <v>165</v>
      </c>
      <c r="Q130" s="82"/>
      <c r="R130" s="62"/>
    </row>
    <row r="131" spans="1:18" s="5" customFormat="1" x14ac:dyDescent="0.2">
      <c r="A131" s="33"/>
      <c r="B131" s="47" t="s">
        <v>149</v>
      </c>
      <c r="C131" s="48"/>
      <c r="D131" s="48"/>
      <c r="E131" s="40"/>
      <c r="F131" s="35"/>
      <c r="G131" s="40"/>
      <c r="H131" s="40"/>
      <c r="I131" s="40"/>
      <c r="J131" s="40"/>
      <c r="K131" s="40"/>
      <c r="L131" s="40"/>
      <c r="M131" s="91"/>
      <c r="N131" s="37" t="s">
        <v>165</v>
      </c>
      <c r="O131" s="72"/>
      <c r="P131" s="37" t="s">
        <v>165</v>
      </c>
      <c r="Q131" s="82"/>
      <c r="R131" s="62"/>
    </row>
    <row r="132" spans="1:18" s="5" customFormat="1" x14ac:dyDescent="0.2">
      <c r="A132" s="33"/>
      <c r="B132" s="47" t="s">
        <v>66</v>
      </c>
      <c r="C132" s="48" t="s">
        <v>151</v>
      </c>
      <c r="D132" s="40"/>
      <c r="E132" s="40"/>
      <c r="F132" s="35"/>
      <c r="G132" s="40"/>
      <c r="H132" s="40"/>
      <c r="I132" s="40"/>
      <c r="J132" s="40"/>
      <c r="K132" s="40"/>
      <c r="L132" s="40"/>
      <c r="M132" s="91"/>
      <c r="N132" s="37" t="s">
        <v>165</v>
      </c>
      <c r="O132" s="72"/>
      <c r="P132" s="37" t="s">
        <v>165</v>
      </c>
      <c r="Q132" s="82"/>
      <c r="R132" s="62"/>
    </row>
    <row r="133" spans="1:18" s="5" customFormat="1" x14ac:dyDescent="0.2">
      <c r="A133" s="33"/>
      <c r="B133" s="49"/>
      <c r="C133" s="48"/>
      <c r="D133" s="48"/>
      <c r="E133" s="40"/>
      <c r="F133" s="38"/>
      <c r="G133" s="50"/>
      <c r="H133" s="40"/>
      <c r="I133" s="40"/>
      <c r="J133" s="40"/>
      <c r="K133" s="40"/>
      <c r="L133" s="40"/>
      <c r="M133" s="91"/>
      <c r="N133" s="37" t="s">
        <v>165</v>
      </c>
      <c r="O133" s="72"/>
      <c r="P133" s="37" t="s">
        <v>165</v>
      </c>
      <c r="Q133" s="82"/>
      <c r="R133" s="62"/>
    </row>
    <row r="134" spans="1:18" s="9" customFormat="1" ht="18" x14ac:dyDescent="0.2">
      <c r="B134" s="180" t="s">
        <v>162</v>
      </c>
      <c r="C134" s="181"/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2"/>
      <c r="R134" s="63"/>
    </row>
    <row r="135" spans="1:18" s="5" customFormat="1" x14ac:dyDescent="0.2">
      <c r="A135" s="33"/>
      <c r="B135" s="43" t="s">
        <v>155</v>
      </c>
      <c r="C135" s="34" t="s">
        <v>173</v>
      </c>
      <c r="D135" s="34" t="s">
        <v>289</v>
      </c>
      <c r="E135" s="35">
        <v>148</v>
      </c>
      <c r="F135" s="126" t="str">
        <f ca="1">INDIRECT("REF!B"&amp;MATCH(E135,REF!A:A,0))</f>
        <v>P14.6</v>
      </c>
      <c r="G135" s="40" t="s">
        <v>752</v>
      </c>
      <c r="H135" s="40" t="s">
        <v>160</v>
      </c>
      <c r="I135" s="40" t="s">
        <v>153</v>
      </c>
      <c r="J135" s="40" t="s">
        <v>142</v>
      </c>
      <c r="K135" s="40"/>
      <c r="L135" s="40"/>
      <c r="M135" s="91" t="s">
        <v>247</v>
      </c>
      <c r="N135" s="37" t="s">
        <v>165</v>
      </c>
      <c r="O135" s="72"/>
      <c r="P135" s="37" t="s">
        <v>165</v>
      </c>
      <c r="Q135" s="82"/>
      <c r="R135" s="62"/>
    </row>
    <row r="136" spans="1:18" s="5" customFormat="1" x14ac:dyDescent="0.2">
      <c r="A136" s="33"/>
      <c r="B136" s="43" t="s">
        <v>156</v>
      </c>
      <c r="C136" s="34" t="s">
        <v>174</v>
      </c>
      <c r="D136" s="34" t="s">
        <v>156</v>
      </c>
      <c r="E136" s="35">
        <v>147</v>
      </c>
      <c r="F136" s="126" t="str">
        <f ca="1">INDIRECT("REF!B"&amp;MATCH(E136,REF!A:A,0))</f>
        <v>P14.5</v>
      </c>
      <c r="G136" s="40" t="s">
        <v>752</v>
      </c>
      <c r="H136" s="40" t="s">
        <v>160</v>
      </c>
      <c r="I136" s="40" t="s">
        <v>153</v>
      </c>
      <c r="J136" s="40" t="s">
        <v>142</v>
      </c>
      <c r="K136" s="40"/>
      <c r="L136" s="40"/>
      <c r="M136" s="91" t="s">
        <v>712</v>
      </c>
      <c r="N136" s="37" t="s">
        <v>165</v>
      </c>
      <c r="O136" s="72"/>
      <c r="P136" s="37" t="s">
        <v>165</v>
      </c>
      <c r="Q136" s="82"/>
      <c r="R136" s="62"/>
    </row>
    <row r="137" spans="1:18" s="5" customFormat="1" x14ac:dyDescent="0.2">
      <c r="A137" s="33"/>
      <c r="B137" s="43" t="s">
        <v>161</v>
      </c>
      <c r="C137" s="34" t="s">
        <v>175</v>
      </c>
      <c r="D137" s="34" t="s">
        <v>290</v>
      </c>
      <c r="E137" s="35">
        <v>144</v>
      </c>
      <c r="F137" s="126" t="str">
        <f ca="1">INDIRECT("REF!B"&amp;MATCH(E137,REF!A:A,0))</f>
        <v>P14.2</v>
      </c>
      <c r="G137" s="40" t="s">
        <v>752</v>
      </c>
      <c r="H137" s="40" t="s">
        <v>160</v>
      </c>
      <c r="I137" s="40" t="s">
        <v>153</v>
      </c>
      <c r="J137" s="40" t="s">
        <v>142</v>
      </c>
      <c r="K137" s="40"/>
      <c r="L137" s="40"/>
      <c r="M137" s="91" t="s">
        <v>713</v>
      </c>
      <c r="N137" s="37" t="s">
        <v>165</v>
      </c>
      <c r="O137" s="72"/>
      <c r="P137" s="37" t="s">
        <v>165</v>
      </c>
      <c r="Q137" s="82"/>
      <c r="R137" s="62"/>
    </row>
    <row r="138" spans="1:18" s="5" customFormat="1" ht="13.7" customHeight="1" x14ac:dyDescent="0.2">
      <c r="A138" s="33"/>
      <c r="B138" s="43" t="s">
        <v>226</v>
      </c>
      <c r="C138" s="34" t="s">
        <v>176</v>
      </c>
      <c r="D138" s="34" t="s">
        <v>291</v>
      </c>
      <c r="E138" s="35">
        <v>145</v>
      </c>
      <c r="F138" s="126" t="str">
        <f ca="1">INDIRECT("REF!B"&amp;MATCH(E138,REF!A:A,0))</f>
        <v>P14.3</v>
      </c>
      <c r="G138" s="40" t="s">
        <v>752</v>
      </c>
      <c r="H138" s="40" t="s">
        <v>160</v>
      </c>
      <c r="I138" s="40" t="s">
        <v>153</v>
      </c>
      <c r="J138" s="40" t="s">
        <v>142</v>
      </c>
      <c r="K138" s="40"/>
      <c r="L138" s="40"/>
      <c r="M138" s="109" t="s">
        <v>758</v>
      </c>
      <c r="N138" s="37" t="s">
        <v>165</v>
      </c>
      <c r="O138" s="72"/>
      <c r="P138" s="37" t="s">
        <v>165</v>
      </c>
      <c r="Q138" s="82"/>
      <c r="R138" s="62"/>
    </row>
    <row r="139" spans="1:18" s="5" customFormat="1" x14ac:dyDescent="0.2">
      <c r="A139" s="33"/>
      <c r="B139" s="43" t="s">
        <v>157</v>
      </c>
      <c r="C139" s="34" t="s">
        <v>177</v>
      </c>
      <c r="D139" s="34" t="s">
        <v>157</v>
      </c>
      <c r="E139" s="35">
        <v>173</v>
      </c>
      <c r="F139" s="126" t="str">
        <f ca="1">INDIRECT("REF!B"&amp;MATCH(E139,REF!A:A,0))</f>
        <v>P10.5</v>
      </c>
      <c r="G139" s="40" t="s">
        <v>752</v>
      </c>
      <c r="H139" s="40" t="s">
        <v>160</v>
      </c>
      <c r="I139" s="40" t="s">
        <v>153</v>
      </c>
      <c r="J139" s="40" t="s">
        <v>142</v>
      </c>
      <c r="K139" s="40"/>
      <c r="L139" s="40"/>
      <c r="M139" s="91" t="s">
        <v>714</v>
      </c>
      <c r="N139" s="37" t="s">
        <v>165</v>
      </c>
      <c r="O139" s="72"/>
      <c r="P139" s="37" t="s">
        <v>165</v>
      </c>
      <c r="Q139" s="82"/>
      <c r="R139" s="62"/>
    </row>
    <row r="140" spans="1:18" s="5" customFormat="1" x14ac:dyDescent="0.2">
      <c r="A140" s="33"/>
      <c r="B140" s="43" t="s">
        <v>158</v>
      </c>
      <c r="C140" s="34" t="s">
        <v>178</v>
      </c>
      <c r="D140" s="34" t="s">
        <v>158</v>
      </c>
      <c r="E140" s="35">
        <v>174</v>
      </c>
      <c r="F140" s="126" t="str">
        <f ca="1">INDIRECT("REF!B"&amp;MATCH(E140,REF!A:A,0))</f>
        <v>P10.6</v>
      </c>
      <c r="G140" s="40" t="s">
        <v>752</v>
      </c>
      <c r="H140" s="40" t="s">
        <v>160</v>
      </c>
      <c r="I140" s="40" t="s">
        <v>153</v>
      </c>
      <c r="J140" s="40" t="s">
        <v>142</v>
      </c>
      <c r="K140" s="40"/>
      <c r="L140" s="40"/>
      <c r="M140" s="109" t="s">
        <v>716</v>
      </c>
      <c r="N140" s="37" t="s">
        <v>165</v>
      </c>
      <c r="O140" s="72"/>
      <c r="P140" s="37" t="s">
        <v>165</v>
      </c>
      <c r="Q140" s="82"/>
      <c r="R140" s="62"/>
    </row>
    <row r="141" spans="1:18" s="5" customFormat="1" x14ac:dyDescent="0.2">
      <c r="A141" s="33"/>
      <c r="B141" s="43" t="s">
        <v>159</v>
      </c>
      <c r="C141" s="34" t="s">
        <v>179</v>
      </c>
      <c r="D141" s="34" t="s">
        <v>159</v>
      </c>
      <c r="E141" s="35">
        <v>146</v>
      </c>
      <c r="F141" s="126" t="str">
        <f ca="1">INDIRECT("REF!B"&amp;MATCH(E141,REF!A:A,0))</f>
        <v>P14.4</v>
      </c>
      <c r="G141" s="40" t="s">
        <v>752</v>
      </c>
      <c r="H141" s="40" t="s">
        <v>160</v>
      </c>
      <c r="I141" s="40" t="s">
        <v>153</v>
      </c>
      <c r="J141" s="40" t="s">
        <v>142</v>
      </c>
      <c r="K141" s="40"/>
      <c r="L141" s="40"/>
      <c r="M141" s="91" t="s">
        <v>715</v>
      </c>
      <c r="N141" s="37" t="s">
        <v>165</v>
      </c>
      <c r="O141" s="72"/>
      <c r="P141" s="37" t="s">
        <v>165</v>
      </c>
      <c r="Q141" s="82"/>
      <c r="R141" s="62"/>
    </row>
    <row r="142" spans="1:18" s="33" customFormat="1" x14ac:dyDescent="0.2">
      <c r="B142" s="49"/>
      <c r="C142" s="48"/>
      <c r="D142" s="48"/>
      <c r="E142" s="40"/>
      <c r="F142" s="38"/>
      <c r="G142" s="50"/>
      <c r="H142" s="40"/>
      <c r="I142" s="40"/>
      <c r="J142" s="40"/>
      <c r="K142" s="40"/>
      <c r="L142" s="40"/>
      <c r="M142" s="109"/>
      <c r="N142" s="37" t="s">
        <v>165</v>
      </c>
      <c r="O142" s="72"/>
      <c r="P142" s="37" t="s">
        <v>165</v>
      </c>
      <c r="Q142" s="82"/>
      <c r="R142" s="62"/>
    </row>
    <row r="144" spans="1:18" s="9" customFormat="1" ht="18" x14ac:dyDescent="0.2">
      <c r="B144" s="191" t="s">
        <v>765</v>
      </c>
      <c r="C144" s="192"/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2"/>
      <c r="R144" s="63"/>
    </row>
    <row r="145" spans="2:18" s="33" customFormat="1" x14ac:dyDescent="0.2">
      <c r="B145" s="136" t="s">
        <v>744</v>
      </c>
      <c r="C145" s="136" t="s">
        <v>743</v>
      </c>
      <c r="D145" s="164" t="s">
        <v>744</v>
      </c>
      <c r="E145" s="134">
        <v>61</v>
      </c>
      <c r="F145" s="157" t="str">
        <f ca="1">INDIRECT("REF!B"&amp;MATCH(E145,REF!A:A,0))</f>
        <v>AN6</v>
      </c>
      <c r="G145" s="134" t="s">
        <v>224</v>
      </c>
      <c r="H145" s="134" t="s">
        <v>88</v>
      </c>
      <c r="I145" s="134" t="s">
        <v>27</v>
      </c>
      <c r="J145" s="134" t="s">
        <v>85</v>
      </c>
      <c r="K145" s="134"/>
      <c r="L145" s="134"/>
      <c r="M145" s="160" t="s">
        <v>761</v>
      </c>
      <c r="N145" s="37" t="s">
        <v>165</v>
      </c>
      <c r="O145" s="72"/>
      <c r="P145" s="37" t="s">
        <v>165</v>
      </c>
      <c r="Q145" s="82"/>
      <c r="R145" s="62"/>
    </row>
    <row r="146" spans="2:18" s="33" customFormat="1" x14ac:dyDescent="0.2">
      <c r="B146" s="136" t="s">
        <v>745</v>
      </c>
      <c r="C146" s="136" t="s">
        <v>762</v>
      </c>
      <c r="D146" s="164" t="s">
        <v>745</v>
      </c>
      <c r="E146" s="134">
        <v>58</v>
      </c>
      <c r="F146" s="157" t="str">
        <f ca="1">INDIRECT("REF!B"&amp;MATCH(E146,REF!A:A,0))</f>
        <v>AN10</v>
      </c>
      <c r="G146" s="134" t="s">
        <v>224</v>
      </c>
      <c r="H146" s="134" t="s">
        <v>88</v>
      </c>
      <c r="I146" s="134" t="s">
        <v>27</v>
      </c>
      <c r="J146" s="134" t="s">
        <v>85</v>
      </c>
      <c r="K146" s="134"/>
      <c r="L146" s="134"/>
      <c r="M146" s="160" t="s">
        <v>748</v>
      </c>
      <c r="N146" s="37" t="s">
        <v>165</v>
      </c>
      <c r="O146" s="72"/>
      <c r="P146" s="37" t="s">
        <v>165</v>
      </c>
      <c r="Q146" s="82"/>
      <c r="R146" s="62"/>
    </row>
    <row r="147" spans="2:18" s="33" customFormat="1" x14ac:dyDescent="0.2">
      <c r="B147" s="136" t="s">
        <v>746</v>
      </c>
      <c r="C147" s="136" t="s">
        <v>763</v>
      </c>
      <c r="D147" s="164" t="s">
        <v>746</v>
      </c>
      <c r="E147" s="134">
        <v>35</v>
      </c>
      <c r="F147" s="157" t="str">
        <f ca="1">INDIRECT("REF!B"&amp;MATCH(E147,REF!A:A,0))</f>
        <v>AN36</v>
      </c>
      <c r="G147" s="134" t="s">
        <v>224</v>
      </c>
      <c r="H147" s="134" t="s">
        <v>88</v>
      </c>
      <c r="I147" s="134" t="s">
        <v>27</v>
      </c>
      <c r="J147" s="134" t="s">
        <v>85</v>
      </c>
      <c r="K147" s="134"/>
      <c r="L147" s="134"/>
      <c r="M147" s="160" t="s">
        <v>749</v>
      </c>
      <c r="N147" s="37" t="s">
        <v>165</v>
      </c>
      <c r="O147" s="72"/>
      <c r="P147" s="37" t="s">
        <v>165</v>
      </c>
      <c r="Q147" s="82"/>
      <c r="R147" s="62"/>
    </row>
    <row r="148" spans="2:18" s="33" customFormat="1" ht="13.7" customHeight="1" x14ac:dyDescent="0.2">
      <c r="B148" s="136" t="s">
        <v>747</v>
      </c>
      <c r="C148" s="136" t="s">
        <v>764</v>
      </c>
      <c r="D148" s="164" t="s">
        <v>747</v>
      </c>
      <c r="E148" s="134">
        <v>40</v>
      </c>
      <c r="F148" s="157" t="str">
        <f ca="1">INDIRECT("REF!B"&amp;MATCH(E148,REF!A:A,0))</f>
        <v>AN28</v>
      </c>
      <c r="G148" s="134" t="s">
        <v>224</v>
      </c>
      <c r="H148" s="134" t="s">
        <v>88</v>
      </c>
      <c r="I148" s="134" t="s">
        <v>27</v>
      </c>
      <c r="J148" s="134" t="s">
        <v>85</v>
      </c>
      <c r="K148" s="134"/>
      <c r="L148" s="134"/>
      <c r="M148" s="160" t="s">
        <v>750</v>
      </c>
      <c r="N148" s="37" t="s">
        <v>165</v>
      </c>
      <c r="O148" s="72"/>
      <c r="P148" s="37" t="s">
        <v>165</v>
      </c>
      <c r="Q148" s="82"/>
      <c r="R148" s="62"/>
    </row>
    <row r="194" spans="1:18" s="33" customFormat="1" x14ac:dyDescent="0.2">
      <c r="B194" s="43"/>
      <c r="C194" s="34"/>
      <c r="D194" s="34"/>
      <c r="E194" s="35"/>
      <c r="F194" s="35"/>
      <c r="G194" s="35"/>
      <c r="H194" s="35"/>
      <c r="I194" s="35"/>
      <c r="J194" s="35"/>
      <c r="K194" s="35"/>
      <c r="L194" s="35"/>
      <c r="M194" s="109"/>
      <c r="N194" s="37" t="s">
        <v>165</v>
      </c>
      <c r="O194" s="70"/>
      <c r="P194" s="37" t="s">
        <v>165</v>
      </c>
      <c r="Q194" s="81"/>
      <c r="R194" s="62"/>
    </row>
    <row r="195" spans="1:18" s="33" customFormat="1" x14ac:dyDescent="0.2">
      <c r="B195" s="43"/>
      <c r="C195" s="34"/>
      <c r="D195" s="34"/>
      <c r="E195" s="35"/>
      <c r="F195" s="35"/>
      <c r="G195" s="35"/>
      <c r="H195" s="35"/>
      <c r="I195" s="35"/>
      <c r="J195" s="35"/>
      <c r="K195" s="35"/>
      <c r="L195" s="35"/>
      <c r="M195" s="109"/>
      <c r="N195" s="37" t="s">
        <v>165</v>
      </c>
      <c r="O195" s="70"/>
      <c r="P195" s="37" t="s">
        <v>165</v>
      </c>
      <c r="Q195" s="81"/>
      <c r="R195" s="62"/>
    </row>
    <row r="196" spans="1:18" s="33" customFormat="1" x14ac:dyDescent="0.2">
      <c r="B196" s="49"/>
      <c r="C196" s="48"/>
      <c r="D196" s="48"/>
      <c r="E196" s="40"/>
      <c r="F196" s="38"/>
      <c r="G196" s="50"/>
      <c r="H196" s="40"/>
      <c r="I196" s="40"/>
      <c r="J196" s="40"/>
      <c r="K196" s="40"/>
      <c r="L196" s="40"/>
      <c r="M196" s="109"/>
      <c r="N196" s="37" t="s">
        <v>165</v>
      </c>
      <c r="O196" s="72"/>
      <c r="P196" s="37" t="s">
        <v>165</v>
      </c>
      <c r="Q196" s="82"/>
      <c r="R196" s="62"/>
    </row>
    <row r="197" spans="1:18" s="5" customFormat="1" ht="15.75" thickBot="1" x14ac:dyDescent="0.25">
      <c r="A197" s="33"/>
      <c r="B197" s="51"/>
      <c r="C197" s="52"/>
      <c r="D197" s="52"/>
      <c r="E197" s="53"/>
      <c r="F197" s="156"/>
      <c r="G197" s="53"/>
      <c r="H197" s="53"/>
      <c r="I197" s="53"/>
      <c r="J197" s="53"/>
      <c r="K197" s="53"/>
      <c r="L197" s="53"/>
      <c r="M197" s="108"/>
      <c r="N197" s="69"/>
      <c r="O197" s="73"/>
      <c r="P197" s="73"/>
      <c r="Q197" s="83"/>
      <c r="R197" s="62"/>
    </row>
  </sheetData>
  <mergeCells count="18">
    <mergeCell ref="B122:Q122"/>
    <mergeCell ref="M117:M118"/>
    <mergeCell ref="B7:M7"/>
    <mergeCell ref="B116:Q116"/>
    <mergeCell ref="B144:Q144"/>
    <mergeCell ref="B134:Q134"/>
    <mergeCell ref="B2:Q2"/>
    <mergeCell ref="B3:Q3"/>
    <mergeCell ref="N7:O7"/>
    <mergeCell ref="P7:Q7"/>
    <mergeCell ref="B105:Q105"/>
    <mergeCell ref="B9:Q9"/>
    <mergeCell ref="B39:Q39"/>
    <mergeCell ref="B68:Q68"/>
    <mergeCell ref="B82:Q82"/>
    <mergeCell ref="M16:M17"/>
    <mergeCell ref="M18:M19"/>
    <mergeCell ref="M20:M21"/>
  </mergeCells>
  <phoneticPr fontId="23" type="noConversion"/>
  <conditionalFormatting sqref="C197:E197 B115:E115 B83:E83 B117:E120 B86:D86 B47:E47 B48:C48 E48 B53:E54 B50:D52 B56:E57 B35:E35 B60:E66 B40:D46 B10:E33 B113:D113 B69:E69 B81:E81 B106:E110 C79:E79 B88:E90 B104:E104 B135:E141 B145:B148 D145:E148">
    <cfRule type="expression" dxfId="12" priority="2200" stopIfTrue="1">
      <formula>#REF!</formula>
    </cfRule>
  </conditionalFormatting>
  <conditionalFormatting sqref="N123:N133 P123:P133 N106:N115 P106:P115 N117:N121 P117:P121 N135:N142 P135:P142 N69:N81 P69:P81 P40:P67 N40:N67 P83:P104 N145:N148 P145:P148 N83:N104 P10:P38 N10:N38">
    <cfRule type="cellIs" dxfId="11" priority="988" operator="equal">
      <formula>"Reject"</formula>
    </cfRule>
    <cfRule type="cellIs" dxfId="10" priority="989" operator="equal">
      <formula>"Accept"</formula>
    </cfRule>
  </conditionalFormatting>
  <conditionalFormatting sqref="B67:E67 B114:D114 B111:D112 B84:E84 B91:E103 C80:E80 B87:D87 D48 B55:E55 B85:D85 B58:E59 C70:E78 B70:B80 B49:D49 B34:E34 E85:E87 E111:E114 E49:E52 B36:E38">
    <cfRule type="expression" dxfId="9" priority="852" stopIfTrue="1">
      <formula>#REF!</formula>
    </cfRule>
  </conditionalFormatting>
  <conditionalFormatting sqref="N194:N195">
    <cfRule type="cellIs" dxfId="8" priority="521" operator="equal">
      <formula>"Reject"</formula>
    </cfRule>
    <cfRule type="cellIs" dxfId="7" priority="522" operator="equal">
      <formula>"Accept"</formula>
    </cfRule>
  </conditionalFormatting>
  <conditionalFormatting sqref="P194:P195">
    <cfRule type="cellIs" dxfId="6" priority="519" operator="equal">
      <formula>"Reject"</formula>
    </cfRule>
    <cfRule type="cellIs" dxfId="5" priority="520" operator="equal">
      <formula>"Accept"</formula>
    </cfRule>
  </conditionalFormatting>
  <conditionalFormatting sqref="B194:E195">
    <cfRule type="expression" dxfId="4" priority="523" stopIfTrue="1">
      <formula>#REF!</formula>
    </cfRule>
  </conditionalFormatting>
  <conditionalFormatting sqref="N196">
    <cfRule type="cellIs" dxfId="3" priority="517" operator="equal">
      <formula>"Reject"</formula>
    </cfRule>
    <cfRule type="cellIs" dxfId="2" priority="518" operator="equal">
      <formula>"Accept"</formula>
    </cfRule>
  </conditionalFormatting>
  <conditionalFormatting sqref="P196">
    <cfRule type="cellIs" dxfId="1" priority="515" operator="equal">
      <formula>"Reject"</formula>
    </cfRule>
    <cfRule type="cellIs" dxfId="0" priority="516" operator="equal">
      <formula>"Accept"</formula>
    </cfRule>
  </conditionalFormatting>
  <dataValidations count="1">
    <dataValidation type="list" allowBlank="1" showInputMessage="1" showErrorMessage="1" sqref="N194:N196 P194:P196 N145:N148 P145:P148 P83:P104 P69:P81 N69:N81 N40:N67 P135:P142 P40:P67 P117:P121 N117:N121 N135:N142 P106:P115 N106:N115 P123:P133 N123:N133 N83:N104 P10:P38 N10:N38">
      <formula1>"Accept,Reject"</formula1>
    </dataValidation>
  </dataValidations>
  <pageMargins left="0.78740157499999996" right="0.78740157499999996" top="0.984251969" bottom="0.984251969" header="0.4921259845" footer="0.4921259845"/>
  <pageSetup paperSize="9" scale="46" fitToHeight="18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77"/>
  <sheetViews>
    <sheetView zoomScale="75" zoomScaleNormal="75" workbookViewId="0">
      <selection sqref="A1:XFD1048576"/>
    </sheetView>
  </sheetViews>
  <sheetFormatPr defaultColWidth="9.140625" defaultRowHeight="12.75" x14ac:dyDescent="0.2"/>
  <cols>
    <col min="1" max="1" width="10.42578125" style="151" customWidth="1"/>
    <col min="2" max="2" width="16.28515625" style="137" customWidth="1"/>
    <col min="3" max="3" width="21.28515625" style="31" bestFit="1" customWidth="1"/>
    <col min="4" max="4" width="31.5703125" style="31" customWidth="1"/>
    <col min="5" max="5" width="28.42578125" style="31" customWidth="1"/>
    <col min="6" max="7" width="9.140625" style="31"/>
    <col min="8" max="8" width="23.28515625" style="31" bestFit="1" customWidth="1"/>
    <col min="9" max="16384" width="9.140625" style="31"/>
  </cols>
  <sheetData>
    <row r="1" spans="1:5" s="138" customFormat="1" ht="16.5" x14ac:dyDescent="0.35">
      <c r="A1" s="148" t="s">
        <v>766</v>
      </c>
      <c r="B1" s="140" t="s">
        <v>767</v>
      </c>
      <c r="C1" s="140" t="s">
        <v>768</v>
      </c>
      <c r="D1" s="140" t="s">
        <v>769</v>
      </c>
    </row>
    <row r="2" spans="1:5" ht="13.5" customHeight="1" x14ac:dyDescent="0.2">
      <c r="A2" s="149">
        <v>1</v>
      </c>
      <c r="B2" s="141" t="s">
        <v>333</v>
      </c>
      <c r="C2" s="141" t="str">
        <f ca="1">IFERROR(INDIRECT("HSI!B"&amp;MATCH(A2,HSI!E:E,0)),"N.C.")</f>
        <v>NFLTAH</v>
      </c>
      <c r="D2" s="194" t="s">
        <v>770</v>
      </c>
      <c r="E2" s="139"/>
    </row>
    <row r="3" spans="1:5" s="167" customFormat="1" ht="13.5" customHeight="1" x14ac:dyDescent="0.2">
      <c r="A3" s="165">
        <v>2</v>
      </c>
      <c r="B3" s="166" t="s">
        <v>334</v>
      </c>
      <c r="C3" s="141" t="str">
        <f ca="1">IFERROR(INDIRECT("HSI!B"&amp;MATCH(A3,HSI!E:E,0)),"N.C.")</f>
        <v>PU</v>
      </c>
      <c r="D3" s="195"/>
    </row>
    <row r="4" spans="1:5" s="167" customFormat="1" ht="13.5" customHeight="1" x14ac:dyDescent="0.2">
      <c r="A4" s="165">
        <v>3</v>
      </c>
      <c r="B4" s="166" t="s">
        <v>335</v>
      </c>
      <c r="C4" s="141" t="str">
        <f ca="1">IFERROR(INDIRECT("HSI!B"&amp;MATCH(A4,HSI!E:E,0)),"N.C.")</f>
        <v>PV</v>
      </c>
      <c r="D4" s="195"/>
    </row>
    <row r="5" spans="1:5" s="167" customFormat="1" ht="13.5" customHeight="1" x14ac:dyDescent="0.2">
      <c r="A5" s="165">
        <v>4</v>
      </c>
      <c r="B5" s="166" t="s">
        <v>336</v>
      </c>
      <c r="C5" s="141" t="str">
        <f ca="1">IFERROR(INDIRECT("HSI!B"&amp;MATCH(A5,HSI!E:E,0)),"N.C.")</f>
        <v>PW</v>
      </c>
      <c r="D5" s="195"/>
    </row>
    <row r="6" spans="1:5" s="167" customFormat="1" ht="13.5" customHeight="1" x14ac:dyDescent="0.2">
      <c r="A6" s="165">
        <v>5</v>
      </c>
      <c r="B6" s="166" t="s">
        <v>337</v>
      </c>
      <c r="C6" s="141" t="str">
        <f ca="1">IFERROR(INDIRECT("HSI!B"&amp;MATCH(A6,HSI!E:E,0)),"N.C.")</f>
        <v>PX</v>
      </c>
      <c r="D6" s="195"/>
    </row>
    <row r="7" spans="1:5" s="167" customFormat="1" ht="13.5" customHeight="1" x14ac:dyDescent="0.2">
      <c r="A7" s="165">
        <v>6</v>
      </c>
      <c r="B7" s="166" t="s">
        <v>338</v>
      </c>
      <c r="C7" s="141" t="str">
        <f ca="1">IFERROR(INDIRECT("HSI!B"&amp;MATCH(A7,HSI!E:E,0)),"N.C.")</f>
        <v>PY</v>
      </c>
      <c r="D7" s="195"/>
    </row>
    <row r="8" spans="1:5" s="167" customFormat="1" ht="13.5" customHeight="1" x14ac:dyDescent="0.2">
      <c r="A8" s="165">
        <v>7</v>
      </c>
      <c r="B8" s="166" t="s">
        <v>339</v>
      </c>
      <c r="C8" s="141" t="str">
        <f ca="1">IFERROR(INDIRECT("HSI!B"&amp;MATCH(A8,HSI!E:E,0)),"N.C.")</f>
        <v>PZ</v>
      </c>
      <c r="D8" s="195"/>
    </row>
    <row r="9" spans="1:5" ht="13.5" customHeight="1" x14ac:dyDescent="0.2">
      <c r="A9" s="149">
        <v>8</v>
      </c>
      <c r="B9" s="141" t="s">
        <v>340</v>
      </c>
      <c r="C9" s="141" t="str">
        <f ca="1">IFERROR(INDIRECT("HSI!B"&amp;MATCH(A9,HSI!E:E,0)),"N.C.")</f>
        <v>NESO</v>
      </c>
      <c r="D9" s="195"/>
    </row>
    <row r="10" spans="1:5" ht="13.5" customHeight="1" x14ac:dyDescent="0.2">
      <c r="A10" s="149">
        <v>9</v>
      </c>
      <c r="B10" s="141" t="s">
        <v>341</v>
      </c>
      <c r="C10" s="141" t="str">
        <f ca="1">IFERROR(INDIRECT("HSI!B"&amp;MATCH(A10,HSI!E:E,0)),"N.C.")</f>
        <v>PWMTRG_O</v>
      </c>
      <c r="D10" s="195"/>
    </row>
    <row r="11" spans="1:5" ht="13.5" customHeight="1" x14ac:dyDescent="0.2">
      <c r="A11" s="150">
        <v>10</v>
      </c>
      <c r="B11" s="142" t="s">
        <v>771</v>
      </c>
      <c r="C11" s="142" t="s">
        <v>772</v>
      </c>
      <c r="D11" s="168" t="s">
        <v>773</v>
      </c>
    </row>
    <row r="12" spans="1:5" ht="13.5" customHeight="1" x14ac:dyDescent="0.2">
      <c r="A12" s="149">
        <v>11</v>
      </c>
      <c r="B12" s="141" t="s">
        <v>342</v>
      </c>
      <c r="C12" s="141" t="str">
        <f ca="1">IFERROR(INDIRECT("HSI!B"&amp;MATCH(A12,HSI!E:E,0)),"N.C.")</f>
        <v>PWMTRG</v>
      </c>
      <c r="D12" s="194" t="s">
        <v>774</v>
      </c>
    </row>
    <row r="13" spans="1:5" ht="13.5" customHeight="1" x14ac:dyDescent="0.2">
      <c r="A13" s="149">
        <v>12</v>
      </c>
      <c r="B13" s="141" t="s">
        <v>343</v>
      </c>
      <c r="C13" s="141" t="str">
        <f ca="1">IFERROR(INDIRECT("HSI!B"&amp;MATCH(A13,HSI!E:E,0)),"N.C.")</f>
        <v>N.C.</v>
      </c>
      <c r="D13" s="195"/>
    </row>
    <row r="14" spans="1:5" ht="13.5" customHeight="1" x14ac:dyDescent="0.2">
      <c r="A14" s="149">
        <v>13</v>
      </c>
      <c r="B14" s="141" t="s">
        <v>344</v>
      </c>
      <c r="C14" s="141" t="str">
        <f ca="1">IFERROR(INDIRECT("HSI!B"&amp;MATCH(A14,HSI!E:E,0)),"N.C.")</f>
        <v>N.C.</v>
      </c>
      <c r="D14" s="195"/>
    </row>
    <row r="15" spans="1:5" ht="13.5" customHeight="1" x14ac:dyDescent="0.2">
      <c r="A15" s="149">
        <v>14</v>
      </c>
      <c r="B15" s="141" t="s">
        <v>345</v>
      </c>
      <c r="C15" s="141" t="str">
        <f ca="1">IFERROR(INDIRECT("HSI!B"&amp;MATCH(A15,HSI!E:E,0)),"N.C.")</f>
        <v>ADC2TRG</v>
      </c>
      <c r="D15" s="195"/>
    </row>
    <row r="16" spans="1:5" ht="13.5" customHeight="1" x14ac:dyDescent="0.2">
      <c r="A16" s="149">
        <v>15</v>
      </c>
      <c r="B16" s="141" t="s">
        <v>346</v>
      </c>
      <c r="C16" s="141" t="str">
        <f ca="1">IFERROR(INDIRECT("HSI!B"&amp;MATCH(A16,HSI!E:E,0)),"N.C.")</f>
        <v>NFLTAL</v>
      </c>
      <c r="D16" s="195"/>
    </row>
    <row r="17" spans="1:4" ht="13.5" customHeight="1" x14ac:dyDescent="0.2">
      <c r="A17" s="149">
        <v>16</v>
      </c>
      <c r="B17" s="141" t="s">
        <v>347</v>
      </c>
      <c r="C17" s="141" t="str">
        <f ca="1">IFERROR(INDIRECT("HSI!B"&amp;MATCH(A17,HSI!E:E,0)),"N.C.")</f>
        <v>NFLTBL</v>
      </c>
      <c r="D17" s="195"/>
    </row>
    <row r="18" spans="1:4" ht="13.5" customHeight="1" x14ac:dyDescent="0.2">
      <c r="A18" s="149">
        <v>17</v>
      </c>
      <c r="B18" s="141" t="s">
        <v>348</v>
      </c>
      <c r="C18" s="141" t="str">
        <f ca="1">IFERROR(INDIRECT("HSI!B"&amp;MATCH(A18,HSI!E:E,0)),"N.C.")</f>
        <v>DOUTX</v>
      </c>
      <c r="D18" s="195"/>
    </row>
    <row r="19" spans="1:4" ht="13.5" customHeight="1" x14ac:dyDescent="0.2">
      <c r="A19" s="149">
        <v>18</v>
      </c>
      <c r="B19" s="141" t="s">
        <v>349</v>
      </c>
      <c r="C19" s="141" t="str">
        <f ca="1">IFERROR(INDIRECT("HSI!B"&amp;MATCH(A19,HSI!E:E,0)),"N.C.")</f>
        <v>DOUTY</v>
      </c>
      <c r="D19" s="195"/>
    </row>
    <row r="20" spans="1:4" ht="13.5" customHeight="1" x14ac:dyDescent="0.2">
      <c r="A20" s="149">
        <v>19</v>
      </c>
      <c r="B20" s="141" t="s">
        <v>350</v>
      </c>
      <c r="C20" s="141" t="str">
        <f ca="1">IFERROR(INDIRECT("HSI!B"&amp;MATCH(A20,HSI!E:E,0)),"N.C.")</f>
        <v>DOUTZ</v>
      </c>
      <c r="D20" s="195"/>
    </row>
    <row r="21" spans="1:4" ht="13.5" customHeight="1" x14ac:dyDescent="0.2">
      <c r="A21" s="149">
        <v>20</v>
      </c>
      <c r="B21" s="141" t="s">
        <v>351</v>
      </c>
      <c r="C21" s="141" t="str">
        <f ca="1">IFERROR(INDIRECT("HSI!B"&amp;MATCH(A21,HSI!E:E,0)),"N.C.")</f>
        <v>N.C.</v>
      </c>
      <c r="D21" s="195"/>
    </row>
    <row r="22" spans="1:4" ht="13.5" customHeight="1" x14ac:dyDescent="0.2">
      <c r="A22" s="149">
        <v>21</v>
      </c>
      <c r="B22" s="141" t="s">
        <v>352</v>
      </c>
      <c r="C22" s="141" t="str">
        <f ca="1">IFERROR(INDIRECT("HSI!B"&amp;MATCH(A22,HSI!E:E,0)),"N.C.")</f>
        <v>N.C.</v>
      </c>
      <c r="D22" s="195"/>
    </row>
    <row r="23" spans="1:4" ht="13.5" customHeight="1" x14ac:dyDescent="0.2">
      <c r="A23" s="149">
        <v>22</v>
      </c>
      <c r="B23" s="141" t="s">
        <v>775</v>
      </c>
      <c r="C23" s="141" t="str">
        <f ca="1">IFERROR(INDIRECT("HSI!B"&amp;MATCH(A23,HSI!E:E,0)),"N.C.")</f>
        <v>IU_B_AI</v>
      </c>
      <c r="D23" s="195"/>
    </row>
    <row r="24" spans="1:4" ht="13.5" customHeight="1" x14ac:dyDescent="0.2">
      <c r="A24" s="149">
        <v>23</v>
      </c>
      <c r="B24" s="141" t="s">
        <v>776</v>
      </c>
      <c r="C24" s="141" t="str">
        <f ca="1">IFERROR(INDIRECT("HSI!B"&amp;MATCH(A24,HSI!E:E,0)),"N.C.")</f>
        <v>IW_A_AI</v>
      </c>
      <c r="D24" s="195"/>
    </row>
    <row r="25" spans="1:4" ht="13.5" customHeight="1" x14ac:dyDescent="0.2">
      <c r="A25" s="150">
        <v>24</v>
      </c>
      <c r="B25" s="142" t="s">
        <v>777</v>
      </c>
      <c r="C25" s="142" t="s">
        <v>772</v>
      </c>
      <c r="D25" s="193" t="s">
        <v>778</v>
      </c>
    </row>
    <row r="26" spans="1:4" ht="13.5" customHeight="1" x14ac:dyDescent="0.2">
      <c r="A26" s="150">
        <v>25</v>
      </c>
      <c r="B26" s="142" t="s">
        <v>779</v>
      </c>
      <c r="C26" s="142" t="s">
        <v>780</v>
      </c>
      <c r="D26" s="193"/>
    </row>
    <row r="27" spans="1:4" ht="13.5" customHeight="1" x14ac:dyDescent="0.2">
      <c r="A27" s="150">
        <v>26</v>
      </c>
      <c r="B27" s="142" t="s">
        <v>781</v>
      </c>
      <c r="C27" s="142" t="s">
        <v>781</v>
      </c>
      <c r="D27" s="193"/>
    </row>
    <row r="28" spans="1:4" ht="13.5" customHeight="1" x14ac:dyDescent="0.2">
      <c r="A28" s="150">
        <v>27</v>
      </c>
      <c r="B28" s="142" t="s">
        <v>782</v>
      </c>
      <c r="C28" s="142" t="s">
        <v>783</v>
      </c>
      <c r="D28" s="193"/>
    </row>
    <row r="29" spans="1:4" ht="13.5" customHeight="1" x14ac:dyDescent="0.2">
      <c r="A29" s="149">
        <v>28</v>
      </c>
      <c r="B29" s="141" t="s">
        <v>353</v>
      </c>
      <c r="C29" s="141" t="str">
        <f ca="1">IFERROR(INDIRECT("HSI!B"&amp;MATCH(A29,HSI!E:E,0)),"N.C.")</f>
        <v>VDD15_AI</v>
      </c>
      <c r="D29" s="194" t="s">
        <v>784</v>
      </c>
    </row>
    <row r="30" spans="1:4" ht="13.5" customHeight="1" x14ac:dyDescent="0.2">
      <c r="A30" s="149">
        <v>29</v>
      </c>
      <c r="B30" s="141" t="s">
        <v>354</v>
      </c>
      <c r="C30" s="141" t="str">
        <f ca="1">IFERROR(INDIRECT("HSI!B"&amp;MATCH(A30,HSI!E:E,0)),"N.C.")</f>
        <v>N.C.</v>
      </c>
      <c r="D30" s="195"/>
    </row>
    <row r="31" spans="1:4" ht="13.5" customHeight="1" x14ac:dyDescent="0.2">
      <c r="A31" s="149">
        <v>30</v>
      </c>
      <c r="B31" s="141" t="s">
        <v>355</v>
      </c>
      <c r="C31" s="141" t="str">
        <f ca="1">IFERROR(INDIRECT("HSI!B"&amp;MATCH(A31,HSI!E:E,0)),"N.C.")</f>
        <v>IW_B_AI</v>
      </c>
      <c r="D31" s="195"/>
    </row>
    <row r="32" spans="1:4" ht="13.5" customHeight="1" x14ac:dyDescent="0.2">
      <c r="A32" s="149">
        <v>31</v>
      </c>
      <c r="B32" s="141" t="s">
        <v>356</v>
      </c>
      <c r="C32" s="141" t="str">
        <f ca="1">IFERROR(INDIRECT("HSI!B"&amp;MATCH(A32,HSI!E:E,0)),"N.C.")</f>
        <v>IV_A_AI</v>
      </c>
      <c r="D32" s="195"/>
    </row>
    <row r="33" spans="1:4" ht="13.5" customHeight="1" x14ac:dyDescent="0.2">
      <c r="A33" s="149">
        <v>32</v>
      </c>
      <c r="B33" s="141" t="s">
        <v>357</v>
      </c>
      <c r="C33" s="141" t="str">
        <f ca="1">IFERROR(INDIRECT("HSI!B"&amp;MATCH(A33,HSI!E:E,0)),"N.C.")</f>
        <v>N.C.</v>
      </c>
      <c r="D33" s="195"/>
    </row>
    <row r="34" spans="1:4" ht="13.5" customHeight="1" x14ac:dyDescent="0.2">
      <c r="A34" s="149">
        <v>33</v>
      </c>
      <c r="B34" s="141" t="s">
        <v>358</v>
      </c>
      <c r="C34" s="141" t="str">
        <f ca="1">IFERROR(INDIRECT("HSI!B"&amp;MATCH(A34,HSI!E:E,0)),"N.C.")</f>
        <v>HWVER_AI</v>
      </c>
      <c r="D34" s="195"/>
    </row>
    <row r="35" spans="1:4" ht="13.5" customHeight="1" x14ac:dyDescent="0.2">
      <c r="A35" s="149">
        <v>34</v>
      </c>
      <c r="B35" s="141" t="s">
        <v>359</v>
      </c>
      <c r="C35" s="141" t="str">
        <f ca="1">IFERROR(INDIRECT("HSI!B"&amp;MATCH(A35,HSI!E:E,0)),"N.C.")</f>
        <v>UBR2_AI</v>
      </c>
      <c r="D35" s="195"/>
    </row>
    <row r="36" spans="1:4" ht="13.5" customHeight="1" x14ac:dyDescent="0.2">
      <c r="A36" s="149">
        <v>35</v>
      </c>
      <c r="B36" s="141" t="s">
        <v>360</v>
      </c>
      <c r="C36" s="141" t="str">
        <f ca="1">IFERROR(INDIRECT("HSI!B"&amp;MATCH(A36,HSI!E:E,0)),"N.C.")</f>
        <v>RES3</v>
      </c>
      <c r="D36" s="195"/>
    </row>
    <row r="37" spans="1:4" ht="13.5" customHeight="1" x14ac:dyDescent="0.2">
      <c r="A37" s="149">
        <v>36</v>
      </c>
      <c r="B37" s="141" t="s">
        <v>361</v>
      </c>
      <c r="C37" s="141" t="str">
        <f ca="1">IFERROR(INDIRECT("HSI!B"&amp;MATCH(A37,HSI!E:E,0)),"N.C.")</f>
        <v>ADCTEST_AI</v>
      </c>
      <c r="D37" s="195"/>
    </row>
    <row r="38" spans="1:4" ht="13.5" customHeight="1" x14ac:dyDescent="0.2">
      <c r="A38" s="149">
        <v>37</v>
      </c>
      <c r="B38" s="141" t="s">
        <v>362</v>
      </c>
      <c r="C38" s="141" t="str">
        <f ca="1">IFERROR(INDIRECT("HSI!B"&amp;MATCH(A38,HSI!E:E,0)),"N.C.")</f>
        <v>IV_B_AI</v>
      </c>
      <c r="D38" s="195"/>
    </row>
    <row r="39" spans="1:4" ht="13.5" customHeight="1" x14ac:dyDescent="0.2">
      <c r="A39" s="149">
        <v>38</v>
      </c>
      <c r="B39" s="141" t="s">
        <v>363</v>
      </c>
      <c r="C39" s="141" t="str">
        <f ca="1">IFERROR(INDIRECT("HSI!B"&amp;MATCH(A39,HSI!E:E,0)),"N.C.")</f>
        <v>IU_A_AI</v>
      </c>
      <c r="D39" s="195"/>
    </row>
    <row r="40" spans="1:4" ht="13.5" customHeight="1" x14ac:dyDescent="0.2">
      <c r="A40" s="149">
        <v>39</v>
      </c>
      <c r="B40" s="141" t="s">
        <v>364</v>
      </c>
      <c r="C40" s="141" t="str">
        <f ca="1">IFERROR(INDIRECT("HSI!B"&amp;MATCH(A40,HSI!E:E,0)),"N.C.")</f>
        <v>N.C.</v>
      </c>
      <c r="D40" s="195"/>
    </row>
    <row r="41" spans="1:4" ht="13.5" customHeight="1" x14ac:dyDescent="0.2">
      <c r="A41" s="149">
        <v>40</v>
      </c>
      <c r="B41" s="141" t="s">
        <v>365</v>
      </c>
      <c r="C41" s="141" t="str">
        <f ca="1">IFERROR(INDIRECT("HSI!B"&amp;MATCH(A41,HSI!E:E,0)),"N.C.")</f>
        <v>RES4</v>
      </c>
      <c r="D41" s="195"/>
    </row>
    <row r="42" spans="1:4" ht="13.5" customHeight="1" x14ac:dyDescent="0.2">
      <c r="A42" s="149">
        <v>41</v>
      </c>
      <c r="B42" s="141" t="s">
        <v>366</v>
      </c>
      <c r="C42" s="141" t="str">
        <f ca="1">IFERROR(INDIRECT("HSI!B"&amp;MATCH(A42,HSI!E:E,0)),"N.C.")</f>
        <v>VDD5COM_AI</v>
      </c>
      <c r="D42" s="195"/>
    </row>
    <row r="43" spans="1:4" ht="13.5" customHeight="1" x14ac:dyDescent="0.2">
      <c r="A43" s="149">
        <v>42</v>
      </c>
      <c r="B43" s="141" t="s">
        <v>367</v>
      </c>
      <c r="C43" s="141" t="str">
        <f ca="1">IFERROR(INDIRECT("HSI!B"&amp;MATCH(A43,HSI!E:E,0)),"N.C.")</f>
        <v>N.C.</v>
      </c>
      <c r="D43" s="195"/>
    </row>
    <row r="44" spans="1:4" ht="13.5" customHeight="1" x14ac:dyDescent="0.2">
      <c r="A44" s="149">
        <v>43</v>
      </c>
      <c r="B44" s="141" t="s">
        <v>368</v>
      </c>
      <c r="C44" s="141" t="str">
        <f ca="1">IFERROR(INDIRECT("HSI!B"&amp;MATCH(A44,HSI!E:E,0)),"N.C.")</f>
        <v>HVUN_AI</v>
      </c>
      <c r="D44" s="195"/>
    </row>
    <row r="45" spans="1:4" ht="13.5" customHeight="1" x14ac:dyDescent="0.2">
      <c r="A45" s="149">
        <v>44</v>
      </c>
      <c r="B45" s="141" t="s">
        <v>369</v>
      </c>
      <c r="C45" s="141" t="str">
        <f ca="1">IFERROR(INDIRECT("HSI!B"&amp;MATCH(A45,HSI!E:E,0)),"N.C.")</f>
        <v>COSL_AI</v>
      </c>
      <c r="D45" s="195"/>
    </row>
    <row r="46" spans="1:4" ht="13.5" customHeight="1" x14ac:dyDescent="0.2">
      <c r="A46" s="149">
        <v>45</v>
      </c>
      <c r="B46" s="141" t="s">
        <v>370</v>
      </c>
      <c r="C46" s="141" t="str">
        <f ca="1">IFERROR(INDIRECT("HSI!B"&amp;MATCH(A46,HSI!E:E,0)),"N.C.")</f>
        <v>COSN_DS2_AI</v>
      </c>
      <c r="D46" s="195"/>
    </row>
    <row r="47" spans="1:4" ht="13.5" customHeight="1" x14ac:dyDescent="0.2">
      <c r="A47" s="149">
        <v>46</v>
      </c>
      <c r="B47" s="141" t="s">
        <v>371</v>
      </c>
      <c r="C47" s="141" t="str">
        <f ca="1">IFERROR(INDIRECT("HSI!B"&amp;MATCH(A47,HSI!E:E,0)),"N.C.")</f>
        <v>COSP_DS2_AI</v>
      </c>
      <c r="D47" s="195"/>
    </row>
    <row r="48" spans="1:4" ht="13.5" customHeight="1" x14ac:dyDescent="0.2">
      <c r="A48" s="149">
        <v>47</v>
      </c>
      <c r="B48" s="141" t="s">
        <v>372</v>
      </c>
      <c r="C48" s="141" t="str">
        <f ca="1">IFERROR(INDIRECT("HSI!B"&amp;MATCH(A48,HSI!E:E,0)),"N.C.")</f>
        <v>VDD5_AI</v>
      </c>
      <c r="D48" s="195"/>
    </row>
    <row r="49" spans="1:4" ht="13.5" customHeight="1" x14ac:dyDescent="0.2">
      <c r="A49" s="149">
        <v>48</v>
      </c>
      <c r="B49" s="141" t="s">
        <v>373</v>
      </c>
      <c r="C49" s="141" t="str">
        <f ca="1">IFERROR(INDIRECT("HSI!B"&amp;MATCH(A49,HSI!E:E,0)),"N.C.")</f>
        <v>VDD5G1_AI</v>
      </c>
      <c r="D49" s="195"/>
    </row>
    <row r="50" spans="1:4" ht="13.5" customHeight="1" x14ac:dyDescent="0.2">
      <c r="A50" s="149">
        <v>49</v>
      </c>
      <c r="B50" s="141" t="s">
        <v>374</v>
      </c>
      <c r="C50" s="141" t="str">
        <f ca="1">IFERROR(INDIRECT("HSI!B"&amp;MATCH(A50,HSI!E:E,0)),"N.C.")</f>
        <v>HVUP_AI</v>
      </c>
      <c r="D50" s="195"/>
    </row>
    <row r="51" spans="1:4" ht="13.5" customHeight="1" x14ac:dyDescent="0.2">
      <c r="A51" s="149">
        <v>50</v>
      </c>
      <c r="B51" s="141" t="s">
        <v>375</v>
      </c>
      <c r="C51" s="141" t="str">
        <f ca="1">IFERROR(INDIRECT("HSI!B"&amp;MATCH(A51,HSI!E:E,0)),"N.C.")</f>
        <v>COSH_AI</v>
      </c>
      <c r="D51" s="195"/>
    </row>
    <row r="52" spans="1:4" ht="13.5" customHeight="1" x14ac:dyDescent="0.2">
      <c r="A52" s="150">
        <v>51</v>
      </c>
      <c r="B52" s="142" t="s">
        <v>785</v>
      </c>
      <c r="C52" s="142" t="s">
        <v>786</v>
      </c>
      <c r="D52" s="193" t="s">
        <v>778</v>
      </c>
    </row>
    <row r="53" spans="1:4" ht="13.5" customHeight="1" x14ac:dyDescent="0.2">
      <c r="A53" s="150">
        <v>52</v>
      </c>
      <c r="B53" s="142" t="s">
        <v>787</v>
      </c>
      <c r="C53" s="142" t="s">
        <v>787</v>
      </c>
      <c r="D53" s="193"/>
    </row>
    <row r="54" spans="1:4" ht="13.5" customHeight="1" x14ac:dyDescent="0.2">
      <c r="A54" s="150">
        <v>53</v>
      </c>
      <c r="B54" s="142" t="s">
        <v>788</v>
      </c>
      <c r="C54" s="142" t="s">
        <v>786</v>
      </c>
      <c r="D54" s="193"/>
    </row>
    <row r="55" spans="1:4" ht="13.5" customHeight="1" x14ac:dyDescent="0.2">
      <c r="A55" s="150">
        <v>54</v>
      </c>
      <c r="B55" s="142" t="s">
        <v>789</v>
      </c>
      <c r="C55" s="142" t="s">
        <v>790</v>
      </c>
      <c r="D55" s="193"/>
    </row>
    <row r="56" spans="1:4" ht="13.5" customHeight="1" x14ac:dyDescent="0.2">
      <c r="A56" s="149">
        <v>55</v>
      </c>
      <c r="B56" s="141" t="s">
        <v>376</v>
      </c>
      <c r="C56" s="141" t="str">
        <f ca="1">IFERROR(INDIRECT("HSI!B"&amp;MATCH(A56,HSI!E:E,0)),"N.C.")</f>
        <v>MTEM2_AI</v>
      </c>
      <c r="D56" s="194" t="s">
        <v>774</v>
      </c>
    </row>
    <row r="57" spans="1:4" ht="13.5" customHeight="1" x14ac:dyDescent="0.2">
      <c r="A57" s="149">
        <v>56</v>
      </c>
      <c r="B57" s="141" t="s">
        <v>377</v>
      </c>
      <c r="C57" s="141" t="str">
        <f ca="1">IFERROR(INDIRECT("HSI!B"&amp;MATCH(A57,HSI!E:E,0)),"N.C.")</f>
        <v>N.C.</v>
      </c>
      <c r="D57" s="195"/>
    </row>
    <row r="58" spans="1:4" ht="13.5" customHeight="1" x14ac:dyDescent="0.2">
      <c r="A58" s="149">
        <v>57</v>
      </c>
      <c r="B58" s="141" t="s">
        <v>378</v>
      </c>
      <c r="C58" s="141" t="str">
        <f ca="1">IFERROR(INDIRECT("HSI!B"&amp;MATCH(A58,HSI!E:E,0)),"N.C.")</f>
        <v>MTEM1_AI</v>
      </c>
      <c r="D58" s="195"/>
    </row>
    <row r="59" spans="1:4" ht="13.5" customHeight="1" x14ac:dyDescent="0.2">
      <c r="A59" s="149">
        <v>58</v>
      </c>
      <c r="B59" s="141" t="s">
        <v>379</v>
      </c>
      <c r="C59" s="141" t="str">
        <f ca="1">IFERROR(INDIRECT("HSI!B"&amp;MATCH(A59,HSI!E:E,0)),"N.C.")</f>
        <v>RES2</v>
      </c>
      <c r="D59" s="195"/>
    </row>
    <row r="60" spans="1:4" ht="13.5" customHeight="1" x14ac:dyDescent="0.2">
      <c r="A60" s="149">
        <v>59</v>
      </c>
      <c r="B60" s="141" t="s">
        <v>380</v>
      </c>
      <c r="C60" s="141" t="str">
        <f ca="1">IFERROR(INDIRECT("HSI!B"&amp;MATCH(A60,HSI!E:E,0)),"N.C.")</f>
        <v>SINL_AI</v>
      </c>
      <c r="D60" s="195"/>
    </row>
    <row r="61" spans="1:4" ht="13.5" customHeight="1" x14ac:dyDescent="0.2">
      <c r="A61" s="149">
        <v>60</v>
      </c>
      <c r="B61" s="141" t="s">
        <v>381</v>
      </c>
      <c r="C61" s="141" t="str">
        <f ca="1">IFERROR(INDIRECT("HSI!B"&amp;MATCH(A61,HSI!E:E,0)),"N.C.")</f>
        <v>N.C.</v>
      </c>
      <c r="D61" s="195"/>
    </row>
    <row r="62" spans="1:4" ht="13.5" customHeight="1" x14ac:dyDescent="0.2">
      <c r="A62" s="149">
        <v>61</v>
      </c>
      <c r="B62" s="141" t="s">
        <v>382</v>
      </c>
      <c r="C62" s="141" t="str">
        <f ca="1">IFERROR(INDIRECT("HSI!B"&amp;MATCH(A62,HSI!E:E,0)),"N.C.")</f>
        <v>RES1</v>
      </c>
      <c r="D62" s="195"/>
    </row>
    <row r="63" spans="1:4" ht="13.5" customHeight="1" x14ac:dyDescent="0.2">
      <c r="A63" s="149">
        <v>62</v>
      </c>
      <c r="B63" s="141" t="s">
        <v>383</v>
      </c>
      <c r="C63" s="141" t="str">
        <f ca="1">IFERROR(INDIRECT("HSI!B"&amp;MATCH(A63,HSI!E:E,0)),"N.C.")</f>
        <v>UBR1_AI</v>
      </c>
      <c r="D63" s="195"/>
    </row>
    <row r="64" spans="1:4" ht="13.5" customHeight="1" x14ac:dyDescent="0.2">
      <c r="A64" s="149">
        <v>63</v>
      </c>
      <c r="B64" s="141" t="s">
        <v>384</v>
      </c>
      <c r="C64" s="141" t="str">
        <f ca="1">IFERROR(INDIRECT("HSI!B"&amp;MATCH(A64,HSI!E:E,0)),"N.C.")</f>
        <v>SINH_AI</v>
      </c>
      <c r="D64" s="195"/>
    </row>
    <row r="65" spans="1:4" ht="13.5" customHeight="1" x14ac:dyDescent="0.2">
      <c r="A65" s="149">
        <v>64</v>
      </c>
      <c r="B65" s="141" t="s">
        <v>385</v>
      </c>
      <c r="C65" s="141" t="str">
        <f ca="1">IFERROR(INDIRECT("HSI!B"&amp;MATCH(A65,HSI!E:E,0)),"N.C.")</f>
        <v>SINN_DS0_AI</v>
      </c>
      <c r="D65" s="195"/>
    </row>
    <row r="66" spans="1:4" ht="13.5" customHeight="1" x14ac:dyDescent="0.2">
      <c r="A66" s="149">
        <v>65</v>
      </c>
      <c r="B66" s="141" t="s">
        <v>386</v>
      </c>
      <c r="C66" s="141" t="str">
        <f ca="1">IFERROR(INDIRECT("HSI!B"&amp;MATCH(A66,HSI!E:E,0)),"N.C.")</f>
        <v>SINP_DS0_AI</v>
      </c>
      <c r="D66" s="195"/>
    </row>
    <row r="67" spans="1:4" ht="13.5" customHeight="1" x14ac:dyDescent="0.2">
      <c r="A67" s="149">
        <v>66</v>
      </c>
      <c r="B67" s="141" t="s">
        <v>21</v>
      </c>
      <c r="C67" s="141" t="str">
        <f ca="1">IFERROR(INDIRECT("HSI!B"&amp;MATCH(A67,HSI!E:E,0)),"N.C.")</f>
        <v>EXCN_DS1_AI</v>
      </c>
      <c r="D67" s="195"/>
    </row>
    <row r="68" spans="1:4" ht="13.5" customHeight="1" x14ac:dyDescent="0.2">
      <c r="A68" s="149">
        <v>67</v>
      </c>
      <c r="B68" s="141" t="s">
        <v>20</v>
      </c>
      <c r="C68" s="141" t="str">
        <f ca="1">IFERROR(INDIRECT("HSI!B"&amp;MATCH(A68,HSI!E:E,0)),"N.C.")</f>
        <v>EXCP_DS1_AI</v>
      </c>
      <c r="D68" s="195"/>
    </row>
    <row r="69" spans="1:4" ht="13.5" customHeight="1" x14ac:dyDescent="0.2">
      <c r="A69" s="150">
        <v>68</v>
      </c>
      <c r="B69" s="142" t="s">
        <v>777</v>
      </c>
      <c r="C69" s="142" t="s">
        <v>772</v>
      </c>
      <c r="D69" s="193" t="s">
        <v>778</v>
      </c>
    </row>
    <row r="70" spans="1:4" ht="13.5" customHeight="1" x14ac:dyDescent="0.2">
      <c r="A70" s="150">
        <v>69</v>
      </c>
      <c r="B70" s="142" t="s">
        <v>779</v>
      </c>
      <c r="C70" s="142" t="s">
        <v>791</v>
      </c>
      <c r="D70" s="193"/>
    </row>
    <row r="71" spans="1:4" ht="13.5" customHeight="1" x14ac:dyDescent="0.2">
      <c r="A71" s="149">
        <v>70</v>
      </c>
      <c r="B71" s="141" t="s">
        <v>387</v>
      </c>
      <c r="C71" s="141" t="str">
        <f ca="1">IFERROR(INDIRECT("HSI!B"&amp;MATCH(A71,HSI!E:E,0)),"N.C.")</f>
        <v>NOC</v>
      </c>
      <c r="D71" s="194" t="s">
        <v>774</v>
      </c>
    </row>
    <row r="72" spans="1:4" ht="13.5" customHeight="1" x14ac:dyDescent="0.2">
      <c r="A72" s="149">
        <v>71</v>
      </c>
      <c r="B72" s="141" t="s">
        <v>213</v>
      </c>
      <c r="C72" s="141" t="str">
        <f ca="1">IFERROR(INDIRECT("HSI!B"&amp;MATCH(A72,HSI!E:E,0)),"N.C.")</f>
        <v>OCLOCK</v>
      </c>
      <c r="D72" s="195"/>
    </row>
    <row r="73" spans="1:4" ht="13.5" customHeight="1" x14ac:dyDescent="0.2">
      <c r="A73" s="149">
        <v>72</v>
      </c>
      <c r="B73" s="141" t="s">
        <v>214</v>
      </c>
      <c r="C73" s="141" t="str">
        <f ca="1">IFERROR(INDIRECT("HSI!B"&amp;MATCH(A73,HSI!E:E,0)),"N.C.")</f>
        <v>NOV1</v>
      </c>
      <c r="D73" s="195"/>
    </row>
    <row r="74" spans="1:4" ht="13.5" customHeight="1" x14ac:dyDescent="0.2">
      <c r="A74" s="149">
        <v>73</v>
      </c>
      <c r="B74" s="141" t="s">
        <v>215</v>
      </c>
      <c r="C74" s="141" t="str">
        <f ca="1">IFERROR(INDIRECT("HSI!B"&amp;MATCH(A74,HSI!E:E,0)),"N.C.")</f>
        <v>NOV2</v>
      </c>
      <c r="D74" s="195"/>
    </row>
    <row r="75" spans="1:4" ht="13.5" customHeight="1" x14ac:dyDescent="0.2">
      <c r="A75" s="149">
        <v>74</v>
      </c>
      <c r="B75" s="141" t="s">
        <v>388</v>
      </c>
      <c r="C75" s="141" t="str">
        <f ca="1">IFERROR(INDIRECT("HSI!B"&amp;MATCH(A75,HSI!E:E,0)),"N.C.")</f>
        <v>N.C.</v>
      </c>
      <c r="D75" s="195"/>
    </row>
    <row r="76" spans="1:4" ht="13.5" customHeight="1" x14ac:dyDescent="0.2">
      <c r="A76" s="149">
        <v>75</v>
      </c>
      <c r="B76" s="141" t="s">
        <v>389</v>
      </c>
      <c r="C76" s="141" t="str">
        <f ca="1">IFERROR(INDIRECT("HSI!B"&amp;MATCH(A76,HSI!E:E,0)),"N.C.")</f>
        <v>N.C.</v>
      </c>
      <c r="D76" s="195"/>
    </row>
    <row r="77" spans="1:4" ht="13.5" customHeight="1" x14ac:dyDescent="0.2">
      <c r="A77" s="149">
        <v>76</v>
      </c>
      <c r="B77" s="141" t="s">
        <v>390</v>
      </c>
      <c r="C77" s="141" t="str">
        <f ca="1">IFERROR(INDIRECT("HSI!B"&amp;MATCH(A77,HSI!E:E,0)),"N.C.")</f>
        <v>N.C.</v>
      </c>
      <c r="D77" s="195"/>
    </row>
    <row r="78" spans="1:4" ht="13.5" customHeight="1" x14ac:dyDescent="0.2">
      <c r="A78" s="149">
        <v>77</v>
      </c>
      <c r="B78" s="141" t="s">
        <v>391</v>
      </c>
      <c r="C78" s="141" t="str">
        <f ca="1">IFERROR(INDIRECT("HSI!B"&amp;MATCH(A78,HSI!E:E,0)),"N.C.")</f>
        <v>N.C.</v>
      </c>
      <c r="D78" s="195"/>
    </row>
    <row r="79" spans="1:4" ht="13.5" customHeight="1" x14ac:dyDescent="0.2">
      <c r="A79" s="149">
        <v>78</v>
      </c>
      <c r="B79" s="141" t="s">
        <v>392</v>
      </c>
      <c r="C79" s="141" t="str">
        <f ca="1">IFERROR(INDIRECT("HSI!B"&amp;MATCH(A79,HSI!E:E,0)),"N.C.")</f>
        <v>SBC_ERR</v>
      </c>
      <c r="D79" s="195"/>
    </row>
    <row r="80" spans="1:4" ht="13.5" customHeight="1" x14ac:dyDescent="0.2">
      <c r="A80" s="149">
        <v>79</v>
      </c>
      <c r="B80" s="141" t="s">
        <v>393</v>
      </c>
      <c r="C80" s="141" t="str">
        <f ca="1">IFERROR(INDIRECT("HSI!B"&amp;MATCH(A80,HSI!E:E,0)),"N.C.")</f>
        <v>N.C.</v>
      </c>
      <c r="D80" s="195"/>
    </row>
    <row r="81" spans="1:4" ht="13.5" customHeight="1" x14ac:dyDescent="0.2">
      <c r="A81" s="149">
        <v>80</v>
      </c>
      <c r="B81" s="141" t="s">
        <v>394</v>
      </c>
      <c r="C81" s="141" t="str">
        <f ca="1">IFERROR(INDIRECT("HSI!B"&amp;MATCH(A81,HSI!E:E,0)),"N.C.")</f>
        <v>N.C.</v>
      </c>
      <c r="D81" s="195"/>
    </row>
    <row r="82" spans="1:4" ht="13.5" customHeight="1" x14ac:dyDescent="0.2">
      <c r="A82" s="149">
        <v>81</v>
      </c>
      <c r="B82" s="141" t="s">
        <v>395</v>
      </c>
      <c r="C82" s="141" t="str">
        <f ca="1">IFERROR(INDIRECT("HSI!B"&amp;MATCH(A82,HSI!E:E,0)),"N.C.")</f>
        <v>EXCLO</v>
      </c>
      <c r="D82" s="195"/>
    </row>
    <row r="83" spans="1:4" ht="13.5" customHeight="1" x14ac:dyDescent="0.2">
      <c r="A83" s="149">
        <v>82</v>
      </c>
      <c r="B83" s="141" t="s">
        <v>396</v>
      </c>
      <c r="C83" s="141" t="str">
        <f ca="1">IFERROR(INDIRECT("HSI!B"&amp;MATCH(A83,HSI!E:E,0)),"N.C.")</f>
        <v>EXCHO</v>
      </c>
      <c r="D83" s="195"/>
    </row>
    <row r="84" spans="1:4" ht="13.5" customHeight="1" x14ac:dyDescent="0.2">
      <c r="A84" s="149">
        <v>83</v>
      </c>
      <c r="B84" s="141" t="s">
        <v>397</v>
      </c>
      <c r="C84" s="141" t="str">
        <f ca="1">IFERROR(INDIRECT("HSI!B"&amp;MATCH(A84,HSI!E:E,0)),"N.C.")</f>
        <v>N.C.</v>
      </c>
      <c r="D84" s="195"/>
    </row>
    <row r="85" spans="1:4" ht="13.5" customHeight="1" x14ac:dyDescent="0.2">
      <c r="A85" s="150">
        <v>84</v>
      </c>
      <c r="B85" s="142" t="s">
        <v>792</v>
      </c>
      <c r="C85" s="142" t="s">
        <v>792</v>
      </c>
      <c r="D85" s="193" t="s">
        <v>778</v>
      </c>
    </row>
    <row r="86" spans="1:4" ht="13.5" customHeight="1" x14ac:dyDescent="0.2">
      <c r="A86" s="150">
        <v>85</v>
      </c>
      <c r="B86" s="142" t="s">
        <v>793</v>
      </c>
      <c r="C86" s="142" t="s">
        <v>793</v>
      </c>
      <c r="D86" s="193"/>
    </row>
    <row r="87" spans="1:4" ht="13.5" customHeight="1" x14ac:dyDescent="0.2">
      <c r="A87" s="149">
        <v>86</v>
      </c>
      <c r="B87" s="141" t="s">
        <v>398</v>
      </c>
      <c r="C87" s="141" t="str">
        <f ca="1">IFERROR(INDIRECT("HSI!B"&amp;MATCH(A87,HSI!E:E,0)),"N.C.")</f>
        <v>MTEM1SEL</v>
      </c>
      <c r="D87" s="194" t="s">
        <v>774</v>
      </c>
    </row>
    <row r="88" spans="1:4" ht="13.5" customHeight="1" x14ac:dyDescent="0.2">
      <c r="A88" s="149">
        <v>87</v>
      </c>
      <c r="B88" s="141" t="s">
        <v>399</v>
      </c>
      <c r="C88" s="141" t="str">
        <f ca="1">IFERROR(INDIRECT("HSI!B"&amp;MATCH(A88,HSI!E:E,0)),"N.C.")</f>
        <v>MTEM2SEL</v>
      </c>
      <c r="D88" s="195"/>
    </row>
    <row r="89" spans="1:4" ht="13.5" customHeight="1" x14ac:dyDescent="0.2">
      <c r="A89" s="149">
        <v>88</v>
      </c>
      <c r="B89" s="141" t="s">
        <v>400</v>
      </c>
      <c r="C89" s="141" t="str">
        <f ca="1">IFERROR(INDIRECT("HSI!B"&amp;MATCH(A89,HSI!E:E,0)),"N.C.")</f>
        <v>N.C.</v>
      </c>
      <c r="D89" s="195"/>
    </row>
    <row r="90" spans="1:4" ht="13.5" customHeight="1" x14ac:dyDescent="0.2">
      <c r="A90" s="149">
        <v>89</v>
      </c>
      <c r="B90" s="141" t="s">
        <v>401</v>
      </c>
      <c r="C90" s="141" t="str">
        <f ca="1">IFERROR(INDIRECT("HSI!B"&amp;MATCH(A90,HSI!E:E,0)),"N.C.")</f>
        <v>MR</v>
      </c>
      <c r="D90" s="195"/>
    </row>
    <row r="91" spans="1:4" ht="13.5" customHeight="1" x14ac:dyDescent="0.2">
      <c r="A91" s="149">
        <v>90</v>
      </c>
      <c r="B91" s="141" t="s">
        <v>402</v>
      </c>
      <c r="C91" s="141" t="str">
        <f ca="1">IFERROR(INDIRECT("HSI!B"&amp;MATCH(A91,HSI!E:E,0)),"N.C.")</f>
        <v>DRV_CS313L</v>
      </c>
      <c r="D91" s="195"/>
    </row>
    <row r="92" spans="1:4" ht="13.5" customHeight="1" x14ac:dyDescent="0.2">
      <c r="A92" s="149">
        <v>91</v>
      </c>
      <c r="B92" s="141" t="s">
        <v>403</v>
      </c>
      <c r="C92" s="141" t="str">
        <f ca="1">IFERROR(INDIRECT("HSI!B"&amp;MATCH(A92,HSI!E:E,0)),"N.C.")</f>
        <v>N.C.</v>
      </c>
      <c r="D92" s="195"/>
    </row>
    <row r="93" spans="1:4" ht="13.5" customHeight="1" x14ac:dyDescent="0.2">
      <c r="A93" s="149">
        <v>92</v>
      </c>
      <c r="B93" s="141" t="s">
        <v>404</v>
      </c>
      <c r="C93" s="141" t="str">
        <f ca="1">IFERROR(INDIRECT("HSI!B"&amp;MATCH(A93,HSI!E:E,0)),"N.C.")</f>
        <v>OCPWMH</v>
      </c>
      <c r="D93" s="195"/>
    </row>
    <row r="94" spans="1:4" ht="13.5" customHeight="1" x14ac:dyDescent="0.2">
      <c r="A94" s="149">
        <v>93</v>
      </c>
      <c r="B94" s="141" t="s">
        <v>405</v>
      </c>
      <c r="C94" s="141" t="str">
        <f ca="1">IFERROR(INDIRECT("HSI!B"&amp;MATCH(A94,HSI!E:E,0)),"N.C.")</f>
        <v>OCPWML</v>
      </c>
      <c r="D94" s="195"/>
    </row>
    <row r="95" spans="1:4" ht="13.5" customHeight="1" x14ac:dyDescent="0.2">
      <c r="A95" s="149">
        <v>94</v>
      </c>
      <c r="B95" s="141" t="s">
        <v>406</v>
      </c>
      <c r="C95" s="141" t="str">
        <f ca="1">IFERROR(INDIRECT("HSI!B"&amp;MATCH(A95,HSI!E:E,0)),"N.C.")</f>
        <v>N.C.</v>
      </c>
      <c r="D95" s="195"/>
    </row>
    <row r="96" spans="1:4" ht="13.5" customHeight="1" x14ac:dyDescent="0.2">
      <c r="A96" s="149">
        <v>95</v>
      </c>
      <c r="B96" s="141" t="s">
        <v>407</v>
      </c>
      <c r="C96" s="141" t="str">
        <f ca="1">IFERROR(INDIRECT("HSI!B"&amp;MATCH(A96,HSI!E:E,0)),"N.C.")</f>
        <v>DRV_MTSR3</v>
      </c>
      <c r="D96" s="195"/>
    </row>
    <row r="97" spans="1:4" ht="13.5" customHeight="1" x14ac:dyDescent="0.2">
      <c r="A97" s="149">
        <v>96</v>
      </c>
      <c r="B97" s="141" t="s">
        <v>408</v>
      </c>
      <c r="C97" s="141" t="str">
        <f ca="1">IFERROR(INDIRECT("HSI!B"&amp;MATCH(A97,HSI!E:E,0)),"N.C.")</f>
        <v>DRV_MRST3</v>
      </c>
      <c r="D97" s="195"/>
    </row>
    <row r="98" spans="1:4" ht="13.5" customHeight="1" x14ac:dyDescent="0.2">
      <c r="A98" s="149">
        <v>97</v>
      </c>
      <c r="B98" s="141" t="s">
        <v>409</v>
      </c>
      <c r="C98" s="141" t="str">
        <f ca="1">IFERROR(INDIRECT("HSI!B"&amp;MATCH(A98,HSI!E:E,0)),"N.C.")</f>
        <v>DRV_CS312H</v>
      </c>
      <c r="D98" s="195"/>
    </row>
    <row r="99" spans="1:4" ht="13.5" customHeight="1" x14ac:dyDescent="0.2">
      <c r="A99" s="149">
        <v>98</v>
      </c>
      <c r="B99" s="141" t="s">
        <v>410</v>
      </c>
      <c r="C99" s="141" t="str">
        <f ca="1">IFERROR(INDIRECT("HSI!B"&amp;MATCH(A99,HSI!E:E,0)),"N.C.")</f>
        <v>DRV_CLK3</v>
      </c>
      <c r="D99" s="195"/>
    </row>
    <row r="100" spans="1:4" ht="13.5" customHeight="1" x14ac:dyDescent="0.2">
      <c r="A100" s="150">
        <v>99</v>
      </c>
      <c r="B100" s="142" t="s">
        <v>779</v>
      </c>
      <c r="C100" s="142" t="s">
        <v>791</v>
      </c>
      <c r="D100" s="193" t="s">
        <v>778</v>
      </c>
    </row>
    <row r="101" spans="1:4" ht="13.5" customHeight="1" x14ac:dyDescent="0.2">
      <c r="A101" s="150">
        <v>100</v>
      </c>
      <c r="B101" s="142" t="s">
        <v>777</v>
      </c>
      <c r="C101" s="142" t="s">
        <v>772</v>
      </c>
      <c r="D101" s="193"/>
    </row>
    <row r="102" spans="1:4" ht="13.5" customHeight="1" x14ac:dyDescent="0.2">
      <c r="A102" s="150">
        <v>101</v>
      </c>
      <c r="B102" s="142" t="s">
        <v>794</v>
      </c>
      <c r="C102" s="142" t="s">
        <v>786</v>
      </c>
      <c r="D102" s="193"/>
    </row>
    <row r="103" spans="1:4" ht="13.5" customHeight="1" x14ac:dyDescent="0.2">
      <c r="A103" s="150">
        <v>102</v>
      </c>
      <c r="B103" s="142" t="s">
        <v>795</v>
      </c>
      <c r="C103" s="142" t="s">
        <v>795</v>
      </c>
      <c r="D103" s="193"/>
    </row>
    <row r="104" spans="1:4" ht="13.5" customHeight="1" x14ac:dyDescent="0.2">
      <c r="A104" s="150">
        <v>103</v>
      </c>
      <c r="B104" s="142" t="s">
        <v>796</v>
      </c>
      <c r="C104" s="142" t="s">
        <v>796</v>
      </c>
      <c r="D104" s="193"/>
    </row>
    <row r="105" spans="1:4" ht="13.5" customHeight="1" x14ac:dyDescent="0.2">
      <c r="A105" s="150">
        <v>104</v>
      </c>
      <c r="B105" s="142" t="s">
        <v>797</v>
      </c>
      <c r="C105" s="142" t="s">
        <v>798</v>
      </c>
      <c r="D105" s="193"/>
    </row>
    <row r="106" spans="1:4" ht="13.5" customHeight="1" x14ac:dyDescent="0.2">
      <c r="A106" s="149">
        <v>105</v>
      </c>
      <c r="B106" s="141" t="s">
        <v>411</v>
      </c>
      <c r="C106" s="141" t="str">
        <f ca="1">IFERROR(INDIRECT("HSI!B"&amp;MATCH(A106,HSI!E:E,0)),"N.C.")</f>
        <v>N.C.</v>
      </c>
      <c r="D106" s="194" t="s">
        <v>774</v>
      </c>
    </row>
    <row r="107" spans="1:4" ht="13.5" customHeight="1" x14ac:dyDescent="0.2">
      <c r="A107" s="149">
        <v>106</v>
      </c>
      <c r="B107" s="141" t="s">
        <v>412</v>
      </c>
      <c r="C107" s="141" t="str">
        <f ca="1">IFERROR(INDIRECT("HSI!B"&amp;MATCH(A107,HSI!E:E,0)),"N.C.")</f>
        <v>LED1</v>
      </c>
      <c r="D107" s="195"/>
    </row>
    <row r="108" spans="1:4" ht="13.5" customHeight="1" x14ac:dyDescent="0.2">
      <c r="A108" s="149">
        <v>107</v>
      </c>
      <c r="B108" s="141" t="s">
        <v>413</v>
      </c>
      <c r="C108" s="141" t="str">
        <f ca="1">IFERROR(INDIRECT("HSI!B"&amp;MATCH(A108,HSI!E:E,0)),"N.C.")</f>
        <v>N.C.</v>
      </c>
      <c r="D108" s="195"/>
    </row>
    <row r="109" spans="1:4" ht="13.5" customHeight="1" x14ac:dyDescent="0.2">
      <c r="A109" s="149">
        <v>108</v>
      </c>
      <c r="B109" s="141" t="s">
        <v>414</v>
      </c>
      <c r="C109" s="141" t="str">
        <f ca="1">IFERROR(INDIRECT("HSI!B"&amp;MATCH(A109,HSI!E:E,0)),"N.C.")</f>
        <v>N.C.</v>
      </c>
      <c r="D109" s="195"/>
    </row>
    <row r="110" spans="1:4" ht="13.5" customHeight="1" x14ac:dyDescent="0.2">
      <c r="A110" s="149">
        <v>109</v>
      </c>
      <c r="B110" s="141" t="s">
        <v>415</v>
      </c>
      <c r="C110" s="141" t="str">
        <f ca="1">IFERROR(INDIRECT("HSI!B"&amp;MATCH(A110,HSI!E:E,0)),"N.C.")</f>
        <v>LED2</v>
      </c>
      <c r="D110" s="195"/>
    </row>
    <row r="111" spans="1:4" ht="13.5" customHeight="1" x14ac:dyDescent="0.2">
      <c r="A111" s="149">
        <v>110</v>
      </c>
      <c r="B111" s="141" t="s">
        <v>416</v>
      </c>
      <c r="C111" s="141" t="str">
        <f ca="1">IFERROR(INDIRECT("HSI!B"&amp;MATCH(A111,HSI!E:E,0)),"N.C.")</f>
        <v>LED3</v>
      </c>
      <c r="D111" s="195"/>
    </row>
    <row r="112" spans="1:4" ht="13.5" customHeight="1" x14ac:dyDescent="0.2">
      <c r="A112" s="150">
        <v>111</v>
      </c>
      <c r="B112" s="142" t="s">
        <v>799</v>
      </c>
      <c r="C112" s="142" t="s">
        <v>799</v>
      </c>
      <c r="D112" s="193" t="s">
        <v>778</v>
      </c>
    </row>
    <row r="113" spans="1:4" ht="13.5" customHeight="1" x14ac:dyDescent="0.2">
      <c r="A113" s="150">
        <v>112</v>
      </c>
      <c r="B113" s="142" t="s">
        <v>800</v>
      </c>
      <c r="C113" s="142" t="s">
        <v>800</v>
      </c>
      <c r="D113" s="193"/>
    </row>
    <row r="114" spans="1:4" ht="13.5" customHeight="1" x14ac:dyDescent="0.2">
      <c r="A114" s="150">
        <v>113</v>
      </c>
      <c r="B114" s="142" t="s">
        <v>801</v>
      </c>
      <c r="C114" s="142" t="s">
        <v>801</v>
      </c>
      <c r="D114" s="193"/>
    </row>
    <row r="115" spans="1:4" ht="13.5" customHeight="1" x14ac:dyDescent="0.2">
      <c r="A115" s="150">
        <v>114</v>
      </c>
      <c r="B115" s="142" t="s">
        <v>802</v>
      </c>
      <c r="C115" s="142" t="s">
        <v>802</v>
      </c>
      <c r="D115" s="193"/>
    </row>
    <row r="116" spans="1:4" ht="13.5" customHeight="1" x14ac:dyDescent="0.2">
      <c r="A116" s="150">
        <v>115</v>
      </c>
      <c r="B116" s="142" t="s">
        <v>803</v>
      </c>
      <c r="C116" s="142" t="s">
        <v>804</v>
      </c>
      <c r="D116" s="193"/>
    </row>
    <row r="117" spans="1:4" ht="13.5" customHeight="1" x14ac:dyDescent="0.2">
      <c r="A117" s="149">
        <v>116</v>
      </c>
      <c r="B117" s="141" t="s">
        <v>417</v>
      </c>
      <c r="C117" s="141" t="str">
        <f ca="1">IFERROR(INDIRECT("HSI!B"&amp;MATCH(A117,HSI!E:E,0)),"N.C.")</f>
        <v>RSVTRG_O</v>
      </c>
      <c r="D117" s="194" t="s">
        <v>784</v>
      </c>
    </row>
    <row r="118" spans="1:4" ht="13.5" customHeight="1" x14ac:dyDescent="0.2">
      <c r="A118" s="149">
        <v>117</v>
      </c>
      <c r="B118" s="141" t="s">
        <v>418</v>
      </c>
      <c r="C118" s="141" t="str">
        <f ca="1">IFERROR(INDIRECT("HSI!B"&amp;MATCH(A118,HSI!E:E,0)),"N.C.")</f>
        <v>WAKE</v>
      </c>
      <c r="D118" s="195"/>
    </row>
    <row r="119" spans="1:4" ht="13.5" customHeight="1" x14ac:dyDescent="0.2">
      <c r="A119" s="149">
        <v>118</v>
      </c>
      <c r="B119" s="141" t="s">
        <v>419</v>
      </c>
      <c r="C119" s="141" t="str">
        <f ca="1">IFERROR(INDIRECT("HSI!B"&amp;MATCH(A119,HSI!E:E,0)),"N.C.")</f>
        <v>TESTMODE</v>
      </c>
      <c r="D119" s="195"/>
    </row>
    <row r="120" spans="1:4" ht="13.5" customHeight="1" x14ac:dyDescent="0.2">
      <c r="A120" s="149">
        <v>119</v>
      </c>
      <c r="B120" s="141" t="s">
        <v>420</v>
      </c>
      <c r="C120" s="141" t="str">
        <f ca="1">IFERROR(INDIRECT("HSI!B"&amp;MATCH(A120,HSI!E:E,0)),"N.C.")</f>
        <v>RSVTRG</v>
      </c>
      <c r="D120" s="195"/>
    </row>
    <row r="121" spans="1:4" ht="13.5" customHeight="1" x14ac:dyDescent="0.2">
      <c r="A121" s="150">
        <v>120</v>
      </c>
      <c r="B121" s="142" t="s">
        <v>805</v>
      </c>
      <c r="C121" s="142" t="s">
        <v>805</v>
      </c>
      <c r="D121" s="193" t="s">
        <v>778</v>
      </c>
    </row>
    <row r="122" spans="1:4" ht="13.5" customHeight="1" x14ac:dyDescent="0.2">
      <c r="A122" s="150">
        <v>121</v>
      </c>
      <c r="B122" s="142" t="s">
        <v>806</v>
      </c>
      <c r="C122" s="142" t="s">
        <v>807</v>
      </c>
      <c r="D122" s="193"/>
    </row>
    <row r="123" spans="1:4" ht="13.5" customHeight="1" x14ac:dyDescent="0.2">
      <c r="A123" s="150">
        <v>122</v>
      </c>
      <c r="B123" s="142" t="s">
        <v>808</v>
      </c>
      <c r="C123" s="142" t="s">
        <v>808</v>
      </c>
      <c r="D123" s="193"/>
    </row>
    <row r="124" spans="1:4" ht="13.5" customHeight="1" x14ac:dyDescent="0.2">
      <c r="A124" s="150">
        <v>123</v>
      </c>
      <c r="B124" s="142" t="s">
        <v>809</v>
      </c>
      <c r="C124" s="142" t="s">
        <v>810</v>
      </c>
      <c r="D124" s="193"/>
    </row>
    <row r="125" spans="1:4" ht="13.5" customHeight="1" x14ac:dyDescent="0.2">
      <c r="A125" s="149">
        <v>124</v>
      </c>
      <c r="B125" s="141" t="s">
        <v>421</v>
      </c>
      <c r="C125" s="141" t="str">
        <f ca="1">IFERROR(INDIRECT("HSI!B"&amp;MATCH(A125,HSI!E:E,0)),"N.C.")</f>
        <v>KL15</v>
      </c>
      <c r="D125" s="194" t="s">
        <v>774</v>
      </c>
    </row>
    <row r="126" spans="1:4" ht="13.5" customHeight="1" x14ac:dyDescent="0.2">
      <c r="A126" s="149">
        <v>125</v>
      </c>
      <c r="B126" s="141" t="s">
        <v>422</v>
      </c>
      <c r="C126" s="141" t="str">
        <f ca="1">IFERROR(INDIRECT("HSI!B"&amp;MATCH(A126,HSI!E:E,0)),"N.C.")</f>
        <v>ENSMPS</v>
      </c>
      <c r="D126" s="195"/>
    </row>
    <row r="127" spans="1:4" ht="13.5" customHeight="1" x14ac:dyDescent="0.2">
      <c r="A127" s="149">
        <v>126</v>
      </c>
      <c r="B127" s="141" t="s">
        <v>423</v>
      </c>
      <c r="C127" s="141" t="str">
        <f ca="1">IFERROR(INDIRECT("HSI!B"&amp;MATCH(A127,HSI!E:E,0)),"N.C.")</f>
        <v>CRASH</v>
      </c>
      <c r="D127" s="195"/>
    </row>
    <row r="128" spans="1:4" ht="13.5" customHeight="1" x14ac:dyDescent="0.2">
      <c r="A128" s="149">
        <v>127</v>
      </c>
      <c r="B128" s="141" t="s">
        <v>424</v>
      </c>
      <c r="C128" s="141" t="str">
        <f ca="1">IFERROR(INDIRECT("HSI!B"&amp;MATCH(A128,HSI!E:E,0)),"N.C.")</f>
        <v>WDI</v>
      </c>
      <c r="D128" s="195"/>
    </row>
    <row r="129" spans="1:4" ht="13.5" customHeight="1" x14ac:dyDescent="0.2">
      <c r="A129" s="149">
        <v>128</v>
      </c>
      <c r="B129" s="141" t="s">
        <v>425</v>
      </c>
      <c r="C129" s="141" t="str">
        <f ca="1">IFERROR(INDIRECT("HSI!B"&amp;MATCH(A129,HSI!E:E,0)),"N.C.")</f>
        <v>N.C.</v>
      </c>
      <c r="D129" s="195"/>
    </row>
    <row r="130" spans="1:4" ht="13.5" customHeight="1" x14ac:dyDescent="0.2">
      <c r="A130" s="149">
        <v>129</v>
      </c>
      <c r="B130" s="141" t="s">
        <v>426</v>
      </c>
      <c r="C130" s="141" t="str">
        <f ca="1">IFERROR(INDIRECT("HSI!B"&amp;MATCH(A130,HSI!E:E,0)),"N.C.")</f>
        <v>SBC_CLK0</v>
      </c>
      <c r="D130" s="195"/>
    </row>
    <row r="131" spans="1:4" ht="13.5" customHeight="1" x14ac:dyDescent="0.2">
      <c r="A131" s="149">
        <v>130</v>
      </c>
      <c r="B131" s="141" t="s">
        <v>427</v>
      </c>
      <c r="C131" s="141" t="str">
        <f ca="1">IFERROR(INDIRECT("HSI!B"&amp;MATCH(A131,HSI!E:E,0)),"N.C.")</f>
        <v>SBC_MRST0</v>
      </c>
      <c r="D131" s="195"/>
    </row>
    <row r="132" spans="1:4" ht="13.5" customHeight="1" x14ac:dyDescent="0.2">
      <c r="A132" s="149">
        <v>131</v>
      </c>
      <c r="B132" s="141" t="s">
        <v>428</v>
      </c>
      <c r="C132" s="141" t="str">
        <f ca="1">IFERROR(INDIRECT("HSI!B"&amp;MATCH(A132,HSI!E:E,0)),"N.C.")</f>
        <v>SBC_CS002</v>
      </c>
      <c r="D132" s="195"/>
    </row>
    <row r="133" spans="1:4" ht="13.5" customHeight="1" x14ac:dyDescent="0.2">
      <c r="A133" s="149">
        <v>132</v>
      </c>
      <c r="B133" s="141" t="s">
        <v>429</v>
      </c>
      <c r="C133" s="141" t="str">
        <f ca="1">IFERROR(INDIRECT("HSI!B"&amp;MATCH(A133,HSI!E:E,0)),"N.C.")</f>
        <v>SBC_MTSR0</v>
      </c>
      <c r="D133" s="195"/>
    </row>
    <row r="134" spans="1:4" ht="13.5" customHeight="1" x14ac:dyDescent="0.2">
      <c r="A134" s="149">
        <v>133</v>
      </c>
      <c r="B134" s="141" t="s">
        <v>74</v>
      </c>
      <c r="C134" s="141" t="str">
        <f ca="1">IFERROR(INDIRECT("HSI!B"&amp;MATCH(A134,HSI!E:E,0)),"N.C.")</f>
        <v>CAN2TXD</v>
      </c>
      <c r="D134" s="195"/>
    </row>
    <row r="135" spans="1:4" ht="13.5" customHeight="1" x14ac:dyDescent="0.2">
      <c r="A135" s="149">
        <v>134</v>
      </c>
      <c r="B135" s="141" t="s">
        <v>73</v>
      </c>
      <c r="C135" s="141" t="str">
        <f ca="1">IFERROR(INDIRECT("HSI!B"&amp;MATCH(A135,HSI!E:E,0)),"N.C.")</f>
        <v>CAN2RXD</v>
      </c>
      <c r="D135" s="195"/>
    </row>
    <row r="136" spans="1:4" ht="13.5" customHeight="1" x14ac:dyDescent="0.2">
      <c r="A136" s="149">
        <v>135</v>
      </c>
      <c r="B136" s="141" t="s">
        <v>430</v>
      </c>
      <c r="C136" s="141" t="str">
        <f ca="1">IFERROR(INDIRECT("HSI!B"&amp;MATCH(A136,HSI!E:E,0)),"N.C.")</f>
        <v>NOC_CLR</v>
      </c>
      <c r="D136" s="195"/>
    </row>
    <row r="137" spans="1:4" ht="13.5" customHeight="1" x14ac:dyDescent="0.2">
      <c r="A137" s="149">
        <v>136</v>
      </c>
      <c r="B137" s="141" t="s">
        <v>431</v>
      </c>
      <c r="C137" s="141" t="str">
        <f ca="1">IFERROR(INDIRECT("HSI!B"&amp;MATCH(A137,HSI!E:E,0)),"N.C.")</f>
        <v>L2_ASCEN</v>
      </c>
      <c r="D137" s="195"/>
    </row>
    <row r="138" spans="1:4" ht="13.5" customHeight="1" x14ac:dyDescent="0.2">
      <c r="A138" s="149">
        <v>137</v>
      </c>
      <c r="B138" s="141" t="s">
        <v>432</v>
      </c>
      <c r="C138" s="141" t="str">
        <f ca="1">IFERROR(INDIRECT("HSI!B"&amp;MATCH(A138,HSI!E:E,0)),"N.C.")</f>
        <v>ST_L2_ASCEN</v>
      </c>
      <c r="D138" s="195"/>
    </row>
    <row r="139" spans="1:4" ht="13.5" customHeight="1" x14ac:dyDescent="0.2">
      <c r="A139" s="149">
        <v>138</v>
      </c>
      <c r="B139" s="141" t="s">
        <v>433</v>
      </c>
      <c r="C139" s="141" t="str">
        <f ca="1">IFERROR(INDIRECT("HSI!B"&amp;MATCH(A139,HSI!E:E,0)),"N.C.")</f>
        <v>CFI</v>
      </c>
      <c r="D139" s="195"/>
    </row>
    <row r="140" spans="1:4" ht="13.5" customHeight="1" x14ac:dyDescent="0.2">
      <c r="A140" s="149">
        <v>139</v>
      </c>
      <c r="B140" s="141" t="s">
        <v>434</v>
      </c>
      <c r="C140" s="141" t="str">
        <f ca="1">IFERROR(INDIRECT("HSI!B"&amp;MATCH(A140,HSI!E:E,0)),"N.C.")</f>
        <v>SBC_TM</v>
      </c>
      <c r="D140" s="195"/>
    </row>
    <row r="141" spans="1:4" ht="13.5" customHeight="1" x14ac:dyDescent="0.2">
      <c r="A141" s="149">
        <v>140</v>
      </c>
      <c r="B141" s="141" t="s">
        <v>435</v>
      </c>
      <c r="C141" s="141" t="str">
        <f ca="1">IFERROR(INDIRECT("HSI!B"&amp;MATCH(A141,HSI!E:E,0)),"N.C.")</f>
        <v>N.C.</v>
      </c>
      <c r="D141" s="195"/>
    </row>
    <row r="142" spans="1:4" ht="13.5" customHeight="1" x14ac:dyDescent="0.2">
      <c r="A142" s="149">
        <v>141</v>
      </c>
      <c r="B142" s="141" t="s">
        <v>14</v>
      </c>
      <c r="C142" s="141" t="str">
        <f ca="1">IFERROR(INDIRECT("HSI!B"&amp;MATCH(A142,HSI!E:E,0)),"N.C.")</f>
        <v>VADCTRG</v>
      </c>
      <c r="D142" s="195"/>
    </row>
    <row r="143" spans="1:4" ht="13.5" customHeight="1" x14ac:dyDescent="0.2">
      <c r="A143" s="149">
        <v>142</v>
      </c>
      <c r="B143" s="141" t="s">
        <v>68</v>
      </c>
      <c r="C143" s="141" t="str">
        <f ca="1">IFERROR(INDIRECT("HSI!B"&amp;MATCH(A143,HSI!E:E,0)),"N.C.")</f>
        <v>CAN1TXD</v>
      </c>
      <c r="D143" s="195"/>
    </row>
    <row r="144" spans="1:4" ht="13.5" customHeight="1" x14ac:dyDescent="0.2">
      <c r="A144" s="149">
        <v>143</v>
      </c>
      <c r="B144" s="141" t="s">
        <v>67</v>
      </c>
      <c r="C144" s="141" t="str">
        <f ca="1">IFERROR(INDIRECT("HSI!B"&amp;MATCH(A144,HSI!E:E,0)),"N.C.")</f>
        <v>CAN1RXD</v>
      </c>
      <c r="D144" s="195"/>
    </row>
    <row r="145" spans="1:4" ht="13.5" customHeight="1" x14ac:dyDescent="0.2">
      <c r="A145" s="149">
        <v>144</v>
      </c>
      <c r="B145" s="141" t="s">
        <v>15</v>
      </c>
      <c r="C145" s="141" t="str">
        <f ca="1">IFERROR(INDIRECT("HSI!B"&amp;MATCH(A145,HSI!E:E,0)),"N.C.")</f>
        <v>HWCFG2</v>
      </c>
      <c r="D145" s="195"/>
    </row>
    <row r="146" spans="1:4" ht="14.65" customHeight="1" x14ac:dyDescent="0.2">
      <c r="A146" s="149">
        <v>145</v>
      </c>
      <c r="B146" s="141" t="s">
        <v>436</v>
      </c>
      <c r="C146" s="141" t="str">
        <f ca="1">IFERROR(INDIRECT("HSI!B"&amp;MATCH(A146,HSI!E:E,0)),"N.C.")</f>
        <v>HWCFG3</v>
      </c>
      <c r="D146" s="195"/>
    </row>
    <row r="147" spans="1:4" ht="12.95" customHeight="1" x14ac:dyDescent="0.2">
      <c r="A147" s="149">
        <v>146</v>
      </c>
      <c r="B147" s="141" t="s">
        <v>16</v>
      </c>
      <c r="C147" s="141" t="str">
        <f ca="1">IFERROR(INDIRECT("HSI!B"&amp;MATCH(A147,HSI!E:E,0)),"N.C.")</f>
        <v>HWCFG6</v>
      </c>
      <c r="D147" s="195"/>
    </row>
    <row r="148" spans="1:4" ht="12.95" customHeight="1" x14ac:dyDescent="0.2">
      <c r="A148" s="149">
        <v>147</v>
      </c>
      <c r="B148" s="141" t="s">
        <v>17</v>
      </c>
      <c r="C148" s="141" t="str">
        <f ca="1">IFERROR(INDIRECT("HSI!B"&amp;MATCH(A148,HSI!E:E,0)),"N.C.")</f>
        <v>HWCFG1</v>
      </c>
      <c r="D148" s="195"/>
    </row>
    <row r="149" spans="1:4" ht="12.95" customHeight="1" x14ac:dyDescent="0.2">
      <c r="A149" s="149">
        <v>148</v>
      </c>
      <c r="B149" s="141" t="s">
        <v>437</v>
      </c>
      <c r="C149" s="141" t="str">
        <f ca="1">IFERROR(INDIRECT("HSI!B"&amp;MATCH(A149,HSI!E:E,0)),"N.C.")</f>
        <v>HWCFG0</v>
      </c>
      <c r="D149" s="195"/>
    </row>
    <row r="150" spans="1:4" ht="12.95" customHeight="1" x14ac:dyDescent="0.2">
      <c r="A150" s="149">
        <v>149</v>
      </c>
      <c r="B150" s="141" t="s">
        <v>438</v>
      </c>
      <c r="C150" s="141" t="str">
        <f ca="1">IFERROR(INDIRECT("HSI!B"&amp;MATCH(A150,HSI!E:E,0)),"N.C.")</f>
        <v>ENL</v>
      </c>
      <c r="D150" s="195"/>
    </row>
    <row r="151" spans="1:4" ht="12.95" customHeight="1" x14ac:dyDescent="0.2">
      <c r="A151" s="149">
        <v>150</v>
      </c>
      <c r="B151" s="141" t="s">
        <v>439</v>
      </c>
      <c r="C151" s="141" t="str">
        <f ca="1">IFERROR(INDIRECT("HSI!B"&amp;MATCH(A151,HSI!E:E,0)),"N.C.")</f>
        <v>ENH</v>
      </c>
      <c r="D151" s="195"/>
    </row>
    <row r="152" spans="1:4" ht="12.95" customHeight="1" x14ac:dyDescent="0.2">
      <c r="A152" s="149">
        <v>151</v>
      </c>
      <c r="B152" s="141" t="s">
        <v>440</v>
      </c>
      <c r="C152" s="141" t="str">
        <f ca="1">IFERROR(INDIRECT("HSI!B"&amp;MATCH(A152,HSI!E:E,0)),"N.C.")</f>
        <v>ENCAN</v>
      </c>
      <c r="D152" s="195"/>
    </row>
    <row r="153" spans="1:4" ht="12.95" customHeight="1" x14ac:dyDescent="0.2">
      <c r="A153" s="149">
        <v>152</v>
      </c>
      <c r="B153" s="141" t="s">
        <v>441</v>
      </c>
      <c r="C153" s="141" t="str">
        <f ca="1">IFERROR(INDIRECT("HSI!B"&amp;MATCH(A153,HSI!E:E,0)),"N.C.")</f>
        <v>NSTBCAN</v>
      </c>
      <c r="D153" s="195"/>
    </row>
    <row r="154" spans="1:4" ht="12.95" customHeight="1" x14ac:dyDescent="0.2">
      <c r="A154" s="150">
        <v>153</v>
      </c>
      <c r="B154" s="142" t="s">
        <v>779</v>
      </c>
      <c r="C154" s="142" t="s">
        <v>791</v>
      </c>
      <c r="D154" s="193" t="s">
        <v>778</v>
      </c>
    </row>
    <row r="155" spans="1:4" ht="12.95" customHeight="1" x14ac:dyDescent="0.2">
      <c r="A155" s="150">
        <v>154</v>
      </c>
      <c r="B155" s="142" t="s">
        <v>797</v>
      </c>
      <c r="C155" s="142" t="s">
        <v>798</v>
      </c>
      <c r="D155" s="193"/>
    </row>
    <row r="156" spans="1:4" ht="12.95" customHeight="1" x14ac:dyDescent="0.2">
      <c r="A156" s="150">
        <v>155</v>
      </c>
      <c r="B156" s="142" t="s">
        <v>811</v>
      </c>
      <c r="C156" s="142" t="s">
        <v>798</v>
      </c>
      <c r="D156" s="193"/>
    </row>
    <row r="157" spans="1:4" ht="12.95" customHeight="1" x14ac:dyDescent="0.2">
      <c r="A157" s="149">
        <v>156</v>
      </c>
      <c r="B157" s="141" t="s">
        <v>442</v>
      </c>
      <c r="C157" s="141" t="str">
        <f ca="1">IFERROR(INDIRECT("HSI!B"&amp;MATCH(A157,HSI!E:E,0)),"N.C.")</f>
        <v>RDYH</v>
      </c>
      <c r="D157" s="194" t="s">
        <v>774</v>
      </c>
    </row>
    <row r="158" spans="1:4" ht="12.95" customHeight="1" x14ac:dyDescent="0.2">
      <c r="A158" s="149">
        <v>157</v>
      </c>
      <c r="B158" s="141" t="s">
        <v>443</v>
      </c>
      <c r="C158" s="141" t="str">
        <f ca="1">IFERROR(INDIRECT("HSI!B"&amp;MATCH(A158,HSI!E:E,0)),"N.C.")</f>
        <v>N.C.</v>
      </c>
      <c r="D158" s="195"/>
    </row>
    <row r="159" spans="1:4" ht="12.95" customHeight="1" x14ac:dyDescent="0.2">
      <c r="A159" s="149">
        <v>158</v>
      </c>
      <c r="B159" s="141" t="s">
        <v>444</v>
      </c>
      <c r="C159" s="141" t="str">
        <f ca="1">IFERROR(INDIRECT("HSI!B"&amp;MATCH(A159,HSI!E:E,0)),"N.C.")</f>
        <v>N.C.</v>
      </c>
      <c r="D159" s="195"/>
    </row>
    <row r="160" spans="1:4" ht="12.95" customHeight="1" x14ac:dyDescent="0.2">
      <c r="A160" s="149">
        <v>159</v>
      </c>
      <c r="B160" s="141" t="s">
        <v>445</v>
      </c>
      <c r="C160" s="141" t="str">
        <f ca="1">IFERROR(INDIRECT("HSI!B"&amp;MATCH(A160,HSI!E:E,0)),"N.C.")</f>
        <v>RDYL</v>
      </c>
      <c r="D160" s="195"/>
    </row>
    <row r="161" spans="1:4" ht="12.95" customHeight="1" x14ac:dyDescent="0.2">
      <c r="A161" s="149">
        <v>160</v>
      </c>
      <c r="B161" s="141" t="s">
        <v>446</v>
      </c>
      <c r="C161" s="141" t="str">
        <f ca="1">IFERROR(INDIRECT("HSI!B"&amp;MATCH(A161,HSI!E:E,0)),"N.C.")</f>
        <v>N.C.</v>
      </c>
      <c r="D161" s="195"/>
    </row>
    <row r="162" spans="1:4" ht="12.95" customHeight="1" x14ac:dyDescent="0.2">
      <c r="A162" s="149">
        <v>161</v>
      </c>
      <c r="B162" s="141" t="s">
        <v>447</v>
      </c>
      <c r="C162" s="141" t="str">
        <f ca="1">IFERROR(INDIRECT("HSI!B"&amp;MATCH(A162,HSI!E:E,0)),"N.C.")</f>
        <v>NFLTSUM</v>
      </c>
      <c r="D162" s="195"/>
    </row>
    <row r="163" spans="1:4" ht="12.95" customHeight="1" x14ac:dyDescent="0.2">
      <c r="A163" s="149">
        <v>162</v>
      </c>
      <c r="B163" s="141" t="s">
        <v>448</v>
      </c>
      <c r="C163" s="141" t="str">
        <f ca="1">IFERROR(INDIRECT("HSI!B"&amp;MATCH(A163,HSI!E:E,0)),"N.C.")</f>
        <v>N.C.</v>
      </c>
      <c r="D163" s="195"/>
    </row>
    <row r="164" spans="1:4" ht="12.95" customHeight="1" x14ac:dyDescent="0.2">
      <c r="A164" s="149">
        <v>163</v>
      </c>
      <c r="B164" s="141" t="s">
        <v>449</v>
      </c>
      <c r="C164" s="141" t="str">
        <f ca="1">IFERROR(INDIRECT("HSI!B"&amp;MATCH(A164,HSI!E:E,0)),"N.C.")</f>
        <v>N.C.</v>
      </c>
      <c r="D164" s="195"/>
    </row>
    <row r="165" spans="1:4" ht="12.95" customHeight="1" x14ac:dyDescent="0.2">
      <c r="A165" s="150">
        <v>164</v>
      </c>
      <c r="B165" s="142" t="s">
        <v>812</v>
      </c>
      <c r="C165" s="142" t="s">
        <v>791</v>
      </c>
      <c r="D165" s="169" t="s">
        <v>778</v>
      </c>
    </row>
    <row r="166" spans="1:4" ht="12.95" customHeight="1" x14ac:dyDescent="0.2">
      <c r="A166" s="149">
        <v>165</v>
      </c>
      <c r="B166" s="141" t="s">
        <v>450</v>
      </c>
      <c r="C166" s="141" t="str">
        <f ca="1">IFERROR(INDIRECT("HSI!B"&amp;MATCH(A166,HSI!E:E,0)),"N.C.")</f>
        <v>N.C.</v>
      </c>
      <c r="D166" s="194" t="s">
        <v>774</v>
      </c>
    </row>
    <row r="167" spans="1:4" ht="12.95" customHeight="1" x14ac:dyDescent="0.2">
      <c r="A167" s="149">
        <v>166</v>
      </c>
      <c r="B167" s="141" t="s">
        <v>451</v>
      </c>
      <c r="C167" s="141" t="str">
        <f ca="1">IFERROR(INDIRECT("HSI!B"&amp;MATCH(A167,HSI!E:E,0)),"N.C.")</f>
        <v>N.C.</v>
      </c>
      <c r="D167" s="195"/>
    </row>
    <row r="168" spans="1:4" ht="12.95" customHeight="1" x14ac:dyDescent="0.2">
      <c r="A168" s="149">
        <v>167</v>
      </c>
      <c r="B168" s="141" t="s">
        <v>452</v>
      </c>
      <c r="C168" s="141" t="str">
        <f ca="1">IFERROR(INDIRECT("HSI!B"&amp;MATCH(A168,HSI!E:E,0)),"N.C.")</f>
        <v>N.C.</v>
      </c>
      <c r="D168" s="195"/>
    </row>
    <row r="169" spans="1:4" ht="12.95" customHeight="1" x14ac:dyDescent="0.2">
      <c r="A169" s="149">
        <v>168</v>
      </c>
      <c r="B169" s="141" t="s">
        <v>453</v>
      </c>
      <c r="C169" s="141" t="str">
        <f ca="1">IFERROR(INDIRECT("HSI!B"&amp;MATCH(A169,HSI!E:E,0)),"N.C.")</f>
        <v>DFUP_H</v>
      </c>
      <c r="D169" s="195"/>
    </row>
    <row r="170" spans="1:4" ht="12.95" customHeight="1" x14ac:dyDescent="0.2">
      <c r="A170" s="149">
        <v>169</v>
      </c>
      <c r="B170" s="141" t="s">
        <v>454</v>
      </c>
      <c r="C170" s="141" t="str">
        <f ca="1">IFERROR(INDIRECT("HSI!B"&amp;MATCH(A170,HSI!E:E,0)),"N.C.")</f>
        <v>DFDN_L</v>
      </c>
      <c r="D170" s="195"/>
    </row>
    <row r="171" spans="1:4" ht="12.95" customHeight="1" x14ac:dyDescent="0.2">
      <c r="A171" s="149">
        <v>170</v>
      </c>
      <c r="B171" s="141" t="s">
        <v>455</v>
      </c>
      <c r="C171" s="141" t="str">
        <f ca="1">IFERROR(INDIRECT("HSI!B"&amp;MATCH(A171,HSI!E:E,0)),"N.C.")</f>
        <v>DFUP_L</v>
      </c>
      <c r="D171" s="195"/>
    </row>
    <row r="172" spans="1:4" ht="12.95" customHeight="1" x14ac:dyDescent="0.2">
      <c r="A172" s="149">
        <v>171</v>
      </c>
      <c r="B172" s="141" t="s">
        <v>456</v>
      </c>
      <c r="C172" s="141" t="str">
        <f ca="1">IFERROR(INDIRECT("HSI!B"&amp;MATCH(A172,HSI!E:E,0)),"N.C.")</f>
        <v>DFDN_H</v>
      </c>
      <c r="D172" s="195"/>
    </row>
    <row r="173" spans="1:4" ht="12.95" customHeight="1" x14ac:dyDescent="0.2">
      <c r="A173" s="149">
        <v>172</v>
      </c>
      <c r="B173" s="141" t="s">
        <v>457</v>
      </c>
      <c r="C173" s="141" t="str">
        <f ca="1">IFERROR(INDIRECT("HSI!B"&amp;MATCH(A173,HSI!E:E,0)),"N.C.")</f>
        <v>N.C.</v>
      </c>
      <c r="D173" s="195"/>
    </row>
    <row r="174" spans="1:4" ht="12.95" customHeight="1" x14ac:dyDescent="0.2">
      <c r="A174" s="149">
        <v>173</v>
      </c>
      <c r="B174" s="141" t="s">
        <v>18</v>
      </c>
      <c r="C174" s="141" t="str">
        <f ca="1">IFERROR(INDIRECT("HSI!B"&amp;MATCH(A174,HSI!E:E,0)),"N.C.")</f>
        <v>HWCFG4</v>
      </c>
      <c r="D174" s="195"/>
    </row>
    <row r="175" spans="1:4" ht="12.95" customHeight="1" x14ac:dyDescent="0.2">
      <c r="A175" s="149">
        <v>174</v>
      </c>
      <c r="B175" s="141" t="s">
        <v>19</v>
      </c>
      <c r="C175" s="141" t="str">
        <f ca="1">IFERROR(INDIRECT("HSI!B"&amp;MATCH(A175,HSI!E:E,0)),"N.C.")</f>
        <v>HWCFG5</v>
      </c>
      <c r="D175" s="195"/>
    </row>
    <row r="176" spans="1:4" ht="12.95" customHeight="1" x14ac:dyDescent="0.2">
      <c r="A176" s="149">
        <v>175</v>
      </c>
      <c r="B176" s="141" t="s">
        <v>458</v>
      </c>
      <c r="C176" s="141" t="str">
        <f ca="1">IFERROR(INDIRECT("HSI!B"&amp;MATCH(A176,HSI!E:E,0)),"N.C.")</f>
        <v>N.C.</v>
      </c>
      <c r="D176" s="195"/>
    </row>
    <row r="177" spans="1:4" ht="13.5" customHeight="1" x14ac:dyDescent="0.2">
      <c r="A177" s="149">
        <v>176</v>
      </c>
      <c r="B177" s="141" t="s">
        <v>459</v>
      </c>
      <c r="C177" s="141" t="str">
        <f ca="1">IFERROR(INDIRECT("HSI!B"&amp;MATCH(A177,HSI!E:E,0)),"N.C.")</f>
        <v>NFLTBH</v>
      </c>
      <c r="D177" s="195"/>
    </row>
  </sheetData>
  <sheetProtection password="CF7A" sheet="1" objects="1" scenarios="1"/>
  <mergeCells count="19">
    <mergeCell ref="D121:D124"/>
    <mergeCell ref="D125:D153"/>
    <mergeCell ref="D154:D156"/>
    <mergeCell ref="D157:D164"/>
    <mergeCell ref="D166:D177"/>
    <mergeCell ref="D2:D10"/>
    <mergeCell ref="D12:D24"/>
    <mergeCell ref="D25:D28"/>
    <mergeCell ref="D29:D51"/>
    <mergeCell ref="D52:D55"/>
    <mergeCell ref="D100:D105"/>
    <mergeCell ref="D106:D111"/>
    <mergeCell ref="D112:D116"/>
    <mergeCell ref="D117:D120"/>
    <mergeCell ref="D56:D68"/>
    <mergeCell ref="D69:D70"/>
    <mergeCell ref="D71:D84"/>
    <mergeCell ref="D85:D86"/>
    <mergeCell ref="D87:D99"/>
  </mergeCells>
  <phoneticPr fontId="40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O54"/>
  <sheetViews>
    <sheetView topLeftCell="B1" zoomScale="50" zoomScaleNormal="50" workbookViewId="0">
      <selection activeCell="B11" sqref="B11"/>
    </sheetView>
  </sheetViews>
  <sheetFormatPr defaultColWidth="9.140625" defaultRowHeight="12.75" x14ac:dyDescent="0.2"/>
  <cols>
    <col min="1" max="1" width="3.5703125" style="137" hidden="1" customWidth="1"/>
    <col min="2" max="2" width="12.5703125" style="144" customWidth="1"/>
    <col min="3" max="3" width="7.5703125" style="31" customWidth="1"/>
    <col min="4" max="10" width="9.140625" style="31"/>
    <col min="11" max="11" width="7.140625" style="31" customWidth="1"/>
    <col min="12" max="12" width="6" style="31" customWidth="1"/>
    <col min="13" max="17" width="9.140625" style="31"/>
    <col min="18" max="18" width="9.7109375" style="31" customWidth="1"/>
    <col min="19" max="19" width="14.5703125" style="144" customWidth="1"/>
    <col min="20" max="20" width="3.5703125" style="137" hidden="1" customWidth="1"/>
    <col min="21" max="21" width="2.5703125" style="31" customWidth="1"/>
    <col min="22" max="22" width="3.5703125" style="137" hidden="1" customWidth="1"/>
    <col min="23" max="23" width="12.5703125" style="147" customWidth="1"/>
    <col min="24" max="32" width="9.140625" style="31"/>
    <col min="33" max="33" width="5.85546875" style="31" customWidth="1"/>
    <col min="34" max="38" width="9.140625" style="31"/>
    <col min="39" max="39" width="7.5703125" style="31" customWidth="1"/>
    <col min="40" max="40" width="12.5703125" style="144" customWidth="1"/>
    <col min="41" max="41" width="3.5703125" style="31" hidden="1" customWidth="1"/>
    <col min="42" max="16384" width="9.140625" style="31"/>
  </cols>
  <sheetData>
    <row r="2" spans="1:41" ht="22.7" customHeight="1" x14ac:dyDescent="0.3">
      <c r="B2" s="143"/>
      <c r="C2" s="196" t="s">
        <v>312</v>
      </c>
      <c r="D2" s="196"/>
      <c r="E2" s="197" t="s">
        <v>313</v>
      </c>
      <c r="F2" s="197"/>
      <c r="G2" s="198" t="s">
        <v>314</v>
      </c>
      <c r="H2" s="199"/>
      <c r="I2" s="200" t="s">
        <v>315</v>
      </c>
      <c r="J2" s="200"/>
    </row>
    <row r="11" spans="1:41" x14ac:dyDescent="0.2">
      <c r="A11" s="137">
        <v>1</v>
      </c>
      <c r="B11" s="145" t="str">
        <f ca="1">IFERROR(INDIRECT("REF!C"&amp;MATCH(A11,REF!A:A,0)),"N.C.")</f>
        <v>NFLTAH</v>
      </c>
      <c r="S11" s="146" t="str">
        <f ca="1">IFERROR(INDIRECT("REF!C"&amp;MATCH(T11,REF!A:A,0)),"N.C.")</f>
        <v>SBC_MTSR0</v>
      </c>
      <c r="T11" s="137">
        <v>132</v>
      </c>
      <c r="V11" s="137">
        <v>45</v>
      </c>
      <c r="W11" s="145" t="str">
        <f ca="1">IFERROR(INDIRECT("REF!C"&amp;MATCH(V11,REF!A:A,0)),"N.C.")</f>
        <v>COSN_DS2_AI</v>
      </c>
      <c r="AN11" s="146" t="str">
        <f ca="1">IFERROR(INDIRECT("REF!C"&amp;MATCH(AO11,REF!A:A,0)),"N.C.")</f>
        <v>NFLTBH</v>
      </c>
      <c r="AO11" s="31">
        <v>176</v>
      </c>
    </row>
    <row r="12" spans="1:41" x14ac:dyDescent="0.2">
      <c r="A12" s="137">
        <v>2</v>
      </c>
      <c r="B12" s="145" t="str">
        <f ca="1">IFERROR(INDIRECT("REF!C"&amp;MATCH(A12,REF!A:A,0)),"N.C.")</f>
        <v>PU</v>
      </c>
      <c r="S12" s="146" t="str">
        <f ca="1">IFERROR(INDIRECT("REF!C"&amp;MATCH(T12,REF!A:A,0)),"N.C.")</f>
        <v>SBC_CS002</v>
      </c>
      <c r="T12" s="137">
        <v>131</v>
      </c>
      <c r="V12" s="137">
        <v>46</v>
      </c>
      <c r="W12" s="145" t="str">
        <f ca="1">IFERROR(INDIRECT("REF!C"&amp;MATCH(V12,REF!A:A,0)),"N.C.")</f>
        <v>COSP_DS2_AI</v>
      </c>
      <c r="AN12" s="146" t="str">
        <f ca="1">IFERROR(INDIRECT("REF!C"&amp;MATCH(AO12,REF!A:A,0)),"N.C.")</f>
        <v>N.C.</v>
      </c>
      <c r="AO12" s="31">
        <v>175</v>
      </c>
    </row>
    <row r="13" spans="1:41" x14ac:dyDescent="0.2">
      <c r="A13" s="137">
        <v>3</v>
      </c>
      <c r="B13" s="145" t="str">
        <f ca="1">IFERROR(INDIRECT("REF!C"&amp;MATCH(A13,REF!A:A,0)),"N.C.")</f>
        <v>PV</v>
      </c>
      <c r="S13" s="146" t="str">
        <f ca="1">IFERROR(INDIRECT("REF!C"&amp;MATCH(T13,REF!A:A,0)),"N.C.")</f>
        <v>SBC_MRST0</v>
      </c>
      <c r="T13" s="137">
        <v>130</v>
      </c>
      <c r="V13" s="137">
        <v>47</v>
      </c>
      <c r="W13" s="145" t="str">
        <f ca="1">IFERROR(INDIRECT("REF!C"&amp;MATCH(V13,REF!A:A,0)),"N.C.")</f>
        <v>VDD5_AI</v>
      </c>
      <c r="AN13" s="146" t="str">
        <f ca="1">IFERROR(INDIRECT("REF!C"&amp;MATCH(AO13,REF!A:A,0)),"N.C.")</f>
        <v>HWCFG5</v>
      </c>
      <c r="AO13" s="31">
        <v>174</v>
      </c>
    </row>
    <row r="14" spans="1:41" x14ac:dyDescent="0.2">
      <c r="A14" s="137">
        <v>4</v>
      </c>
      <c r="B14" s="145" t="str">
        <f ca="1">IFERROR(INDIRECT("REF!C"&amp;MATCH(A14,REF!A:A,0)),"N.C.")</f>
        <v>PW</v>
      </c>
      <c r="S14" s="146" t="str">
        <f ca="1">IFERROR(INDIRECT("REF!C"&amp;MATCH(T14,REF!A:A,0)),"N.C.")</f>
        <v>SBC_CLK0</v>
      </c>
      <c r="T14" s="137">
        <v>129</v>
      </c>
      <c r="V14" s="137">
        <v>48</v>
      </c>
      <c r="W14" s="145" t="str">
        <f ca="1">IFERROR(INDIRECT("REF!C"&amp;MATCH(V14,REF!A:A,0)),"N.C.")</f>
        <v>VDD5G1_AI</v>
      </c>
      <c r="AN14" s="146" t="str">
        <f ca="1">IFERROR(INDIRECT("REF!C"&amp;MATCH(AO14,REF!A:A,0)),"N.C.")</f>
        <v>HWCFG4</v>
      </c>
      <c r="AO14" s="31">
        <v>173</v>
      </c>
    </row>
    <row r="15" spans="1:41" x14ac:dyDescent="0.2">
      <c r="A15" s="137">
        <v>5</v>
      </c>
      <c r="B15" s="145" t="str">
        <f ca="1">IFERROR(INDIRECT("REF!C"&amp;MATCH(A15,REF!A:A,0)),"N.C.")</f>
        <v>PX</v>
      </c>
      <c r="S15" s="146" t="str">
        <f ca="1">IFERROR(INDIRECT("REF!C"&amp;MATCH(T15,REF!A:A,0)),"N.C.")</f>
        <v>N.C.</v>
      </c>
      <c r="T15" s="137">
        <v>128</v>
      </c>
      <c r="V15" s="137">
        <v>49</v>
      </c>
      <c r="W15" s="145" t="str">
        <f ca="1">IFERROR(INDIRECT("REF!C"&amp;MATCH(V15,REF!A:A,0)),"N.C.")</f>
        <v>HVUP_AI</v>
      </c>
      <c r="AN15" s="146" t="str">
        <f ca="1">IFERROR(INDIRECT("REF!C"&amp;MATCH(AO15,REF!A:A,0)),"N.C.")</f>
        <v>N.C.</v>
      </c>
      <c r="AO15" s="31">
        <v>172</v>
      </c>
    </row>
    <row r="16" spans="1:41" x14ac:dyDescent="0.2">
      <c r="A16" s="137">
        <v>6</v>
      </c>
      <c r="B16" s="145" t="str">
        <f ca="1">IFERROR(INDIRECT("REF!C"&amp;MATCH(A16,REF!A:A,0)),"N.C.")</f>
        <v>PY</v>
      </c>
      <c r="S16" s="146" t="str">
        <f ca="1">IFERROR(INDIRECT("REF!C"&amp;MATCH(T16,REF!A:A,0)),"N.C.")</f>
        <v>WDI</v>
      </c>
      <c r="T16" s="137">
        <v>127</v>
      </c>
      <c r="V16" s="137">
        <v>50</v>
      </c>
      <c r="W16" s="145" t="str">
        <f ca="1">IFERROR(INDIRECT("REF!C"&amp;MATCH(V16,REF!A:A,0)),"N.C.")</f>
        <v>COSH_AI</v>
      </c>
      <c r="AN16" s="146" t="str">
        <f ca="1">IFERROR(INDIRECT("REF!C"&amp;MATCH(AO16,REF!A:A,0)),"N.C.")</f>
        <v>DFDN_H</v>
      </c>
      <c r="AO16" s="31">
        <v>171</v>
      </c>
    </row>
    <row r="17" spans="1:41" x14ac:dyDescent="0.2">
      <c r="A17" s="137">
        <v>7</v>
      </c>
      <c r="B17" s="145" t="str">
        <f ca="1">IFERROR(INDIRECT("REF!C"&amp;MATCH(A17,REF!A:A,0)),"N.C.")</f>
        <v>PZ</v>
      </c>
      <c r="S17" s="146" t="str">
        <f ca="1">IFERROR(INDIRECT("REF!C"&amp;MATCH(T17,REF!A:A,0)),"N.C.")</f>
        <v>CRASH</v>
      </c>
      <c r="T17" s="137">
        <v>126</v>
      </c>
      <c r="V17" s="137">
        <v>51</v>
      </c>
      <c r="W17" s="145" t="str">
        <f ca="1">IFERROR(INDIRECT("REF!C"&amp;MATCH(V17,REF!A:A,0)),"N.C.")</f>
        <v>GND</v>
      </c>
      <c r="AN17" s="146" t="str">
        <f ca="1">IFERROR(INDIRECT("REF!C"&amp;MATCH(AO17,REF!A:A,0)),"N.C.")</f>
        <v>DFUP_L</v>
      </c>
      <c r="AO17" s="31">
        <v>170</v>
      </c>
    </row>
    <row r="18" spans="1:41" x14ac:dyDescent="0.2">
      <c r="A18" s="137">
        <v>8</v>
      </c>
      <c r="B18" s="145" t="str">
        <f ca="1">IFERROR(INDIRECT("REF!C"&amp;MATCH(A18,REF!A:A,0)),"N.C.")</f>
        <v>NESO</v>
      </c>
      <c r="S18" s="146" t="str">
        <f ca="1">IFERROR(INDIRECT("REF!C"&amp;MATCH(T18,REF!A:A,0)),"N.C.")</f>
        <v>ENSMPS</v>
      </c>
      <c r="T18" s="137">
        <v>125</v>
      </c>
      <c r="V18" s="137">
        <v>52</v>
      </c>
      <c r="W18" s="145" t="str">
        <f ca="1">IFERROR(INDIRECT("REF!C"&amp;MATCH(V18,REF!A:A,0)),"N.C.")</f>
        <v>VAREF1</v>
      </c>
      <c r="AN18" s="146" t="str">
        <f ca="1">IFERROR(INDIRECT("REF!C"&amp;MATCH(AO18,REF!A:A,0)),"N.C.")</f>
        <v>DFDN_L</v>
      </c>
      <c r="AO18" s="31">
        <v>169</v>
      </c>
    </row>
    <row r="19" spans="1:41" x14ac:dyDescent="0.2">
      <c r="A19" s="137">
        <v>9</v>
      </c>
      <c r="B19" s="145" t="str">
        <f ca="1">IFERROR(INDIRECT("REF!C"&amp;MATCH(A19,REF!A:A,0)),"N.C.")</f>
        <v>PWMTRG_O</v>
      </c>
      <c r="S19" s="146" t="str">
        <f ca="1">IFERROR(INDIRECT("REF!C"&amp;MATCH(T19,REF!A:A,0)),"N.C.")</f>
        <v>KL15</v>
      </c>
      <c r="T19" s="137">
        <v>124</v>
      </c>
      <c r="V19" s="137">
        <v>53</v>
      </c>
      <c r="W19" s="145" t="str">
        <f ca="1">IFERROR(INDIRECT("REF!C"&amp;MATCH(V19,REF!A:A,0)),"N.C.")</f>
        <v>GND</v>
      </c>
      <c r="AN19" s="146" t="str">
        <f ca="1">IFERROR(INDIRECT("REF!C"&amp;MATCH(AO19,REF!A:A,0)),"N.C.")</f>
        <v>DFUP_H</v>
      </c>
      <c r="AO19" s="31">
        <v>168</v>
      </c>
    </row>
    <row r="20" spans="1:41" x14ac:dyDescent="0.2">
      <c r="A20" s="137">
        <v>10</v>
      </c>
      <c r="B20" s="145" t="str">
        <f ca="1">IFERROR(INDIRECT("REF!C"&amp;MATCH(A20,REF!A:A,0)),"N.C.")</f>
        <v>VDD1V3</v>
      </c>
      <c r="S20" s="146" t="str">
        <f ca="1">IFERROR(INDIRECT("REF!C"&amp;MATCH(T20,REF!A:A,0)),"N.C.")</f>
        <v>VDD1V3</v>
      </c>
      <c r="T20" s="137">
        <v>123</v>
      </c>
      <c r="V20" s="137">
        <v>54</v>
      </c>
      <c r="W20" s="145" t="str">
        <f ca="1">IFERROR(INDIRECT("REF!C"&amp;MATCH(V20,REF!A:A,0)),"N.C.")</f>
        <v>VDD5_REF</v>
      </c>
      <c r="AN20" s="146" t="str">
        <f ca="1">IFERROR(INDIRECT("REF!C"&amp;MATCH(AO20,REF!A:A,0)),"N.C.")</f>
        <v>N.C.</v>
      </c>
      <c r="AO20" s="31">
        <v>167</v>
      </c>
    </row>
    <row r="21" spans="1:41" x14ac:dyDescent="0.2">
      <c r="A21" s="137">
        <v>11</v>
      </c>
      <c r="B21" s="145" t="str">
        <f ca="1">IFERROR(INDIRECT("REF!C"&amp;MATCH(A21,REF!A:A,0)),"N.C.")</f>
        <v>PWMTRG</v>
      </c>
      <c r="S21" s="146" t="str">
        <f ca="1">IFERROR(INDIRECT("REF!C"&amp;MATCH(T21,REF!A:A,0)),"N.C.")</f>
        <v>ESR0</v>
      </c>
      <c r="T21" s="137">
        <v>122</v>
      </c>
      <c r="V21" s="137">
        <v>55</v>
      </c>
      <c r="W21" s="145" t="str">
        <f ca="1">IFERROR(INDIRECT("REF!C"&amp;MATCH(V21,REF!A:A,0)),"N.C.")</f>
        <v>MTEM2_AI</v>
      </c>
      <c r="AN21" s="146" t="str">
        <f ca="1">IFERROR(INDIRECT("REF!C"&amp;MATCH(AO21,REF!A:A,0)),"N.C.")</f>
        <v>N.C.</v>
      </c>
      <c r="AO21" s="31">
        <v>166</v>
      </c>
    </row>
    <row r="22" spans="1:41" x14ac:dyDescent="0.2">
      <c r="A22" s="137">
        <v>12</v>
      </c>
      <c r="B22" s="145" t="str">
        <f ca="1">IFERROR(INDIRECT("REF!C"&amp;MATCH(A22,REF!A:A,0)),"N.C.")</f>
        <v>N.C.</v>
      </c>
      <c r="S22" s="146" t="str">
        <f ca="1">IFERROR(INDIRECT("REF!C"&amp;MATCH(T22,REF!A:A,0)),"N.C.")</f>
        <v>PORST</v>
      </c>
      <c r="T22" s="137">
        <v>121</v>
      </c>
      <c r="V22" s="137">
        <v>56</v>
      </c>
      <c r="W22" s="145" t="str">
        <f ca="1">IFERROR(INDIRECT("REF!C"&amp;MATCH(V22,REF!A:A,0)),"N.C.")</f>
        <v>N.C.</v>
      </c>
      <c r="AN22" s="146" t="str">
        <f ca="1">IFERROR(INDIRECT("REF!C"&amp;MATCH(AO22,REF!A:A,0)),"N.C.")</f>
        <v>N.C.</v>
      </c>
      <c r="AO22" s="31">
        <v>165</v>
      </c>
    </row>
    <row r="23" spans="1:41" x14ac:dyDescent="0.2">
      <c r="A23" s="137">
        <v>13</v>
      </c>
      <c r="B23" s="145" t="str">
        <f ca="1">IFERROR(INDIRECT("REF!C"&amp;MATCH(A23,REF!A:A,0)),"N.C.")</f>
        <v>N.C.</v>
      </c>
      <c r="S23" s="146" t="str">
        <f ca="1">IFERROR(INDIRECT("REF!C"&amp;MATCH(T23,REF!A:A,0)),"N.C.")</f>
        <v>ESR1</v>
      </c>
      <c r="T23" s="137">
        <v>120</v>
      </c>
      <c r="V23" s="137">
        <v>57</v>
      </c>
      <c r="W23" s="145" t="str">
        <f ca="1">IFERROR(INDIRECT("REF!C"&amp;MATCH(V23,REF!A:A,0)),"N.C.")</f>
        <v>MTEM1_AI</v>
      </c>
      <c r="AN23" s="146" t="str">
        <f ca="1">IFERROR(INDIRECT("REF!C"&amp;MATCH(AO23,REF!A:A,0)),"N.C.")</f>
        <v>VDD5</v>
      </c>
      <c r="AO23" s="31">
        <v>164</v>
      </c>
    </row>
    <row r="24" spans="1:41" x14ac:dyDescent="0.2">
      <c r="A24" s="137">
        <v>14</v>
      </c>
      <c r="B24" s="145" t="str">
        <f ca="1">IFERROR(INDIRECT("REF!C"&amp;MATCH(A24,REF!A:A,0)),"N.C.")</f>
        <v>ADC2TRG</v>
      </c>
      <c r="S24" s="146" t="str">
        <f ca="1">IFERROR(INDIRECT("REF!C"&amp;MATCH(T24,REF!A:A,0)),"N.C.")</f>
        <v>RSVTRG</v>
      </c>
      <c r="T24" s="137">
        <v>119</v>
      </c>
      <c r="V24" s="137">
        <v>58</v>
      </c>
      <c r="W24" s="145" t="str">
        <f ca="1">IFERROR(INDIRECT("REF!C"&amp;MATCH(V24,REF!A:A,0)),"N.C.")</f>
        <v>RES2</v>
      </c>
      <c r="AN24" s="146" t="str">
        <f ca="1">IFERROR(INDIRECT("REF!C"&amp;MATCH(AO24,REF!A:A,0)),"N.C.")</f>
        <v>N.C.</v>
      </c>
      <c r="AO24" s="31">
        <v>163</v>
      </c>
    </row>
    <row r="25" spans="1:41" x14ac:dyDescent="0.2">
      <c r="A25" s="137">
        <v>15</v>
      </c>
      <c r="B25" s="145" t="str">
        <f ca="1">IFERROR(INDIRECT("REF!C"&amp;MATCH(A25,REF!A:A,0)),"N.C.")</f>
        <v>NFLTAL</v>
      </c>
      <c r="S25" s="146" t="str">
        <f ca="1">IFERROR(INDIRECT("REF!C"&amp;MATCH(T25,REF!A:A,0)),"N.C.")</f>
        <v>TESTMODE</v>
      </c>
      <c r="T25" s="137">
        <v>118</v>
      </c>
      <c r="V25" s="137">
        <v>59</v>
      </c>
      <c r="W25" s="145" t="str">
        <f ca="1">IFERROR(INDIRECT("REF!C"&amp;MATCH(V25,REF!A:A,0)),"N.C.")</f>
        <v>SINL_AI</v>
      </c>
      <c r="AN25" s="146" t="str">
        <f ca="1">IFERROR(INDIRECT("REF!C"&amp;MATCH(AO25,REF!A:A,0)),"N.C.")</f>
        <v>N.C.</v>
      </c>
      <c r="AO25" s="31">
        <v>162</v>
      </c>
    </row>
    <row r="26" spans="1:41" x14ac:dyDescent="0.2">
      <c r="A26" s="137">
        <v>16</v>
      </c>
      <c r="B26" s="145" t="str">
        <f ca="1">IFERROR(INDIRECT("REF!C"&amp;MATCH(A26,REF!A:A,0)),"N.C.")</f>
        <v>NFLTBL</v>
      </c>
      <c r="S26" s="146" t="str">
        <f ca="1">IFERROR(INDIRECT("REF!C"&amp;MATCH(T26,REF!A:A,0)),"N.C.")</f>
        <v>WAKE</v>
      </c>
      <c r="T26" s="137">
        <v>117</v>
      </c>
      <c r="V26" s="137">
        <v>60</v>
      </c>
      <c r="W26" s="145" t="str">
        <f ca="1">IFERROR(INDIRECT("REF!C"&amp;MATCH(V26,REF!A:A,0)),"N.C.")</f>
        <v>N.C.</v>
      </c>
      <c r="AN26" s="146" t="str">
        <f ca="1">IFERROR(INDIRECT("REF!C"&amp;MATCH(AO26,REF!A:A,0)),"N.C.")</f>
        <v>NFLTSUM</v>
      </c>
      <c r="AO26" s="31">
        <v>161</v>
      </c>
    </row>
    <row r="27" spans="1:41" x14ac:dyDescent="0.2">
      <c r="A27" s="137">
        <v>17</v>
      </c>
      <c r="B27" s="145" t="str">
        <f ca="1">IFERROR(INDIRECT("REF!C"&amp;MATCH(A27,REF!A:A,0)),"N.C.")</f>
        <v>DOUTX</v>
      </c>
      <c r="S27" s="146" t="str">
        <f ca="1">IFERROR(INDIRECT("REF!C"&amp;MATCH(T27,REF!A:A,0)),"N.C.")</f>
        <v>RSVTRG_O</v>
      </c>
      <c r="T27" s="137">
        <v>116</v>
      </c>
      <c r="V27" s="137">
        <v>61</v>
      </c>
      <c r="W27" s="145" t="str">
        <f ca="1">IFERROR(INDIRECT("REF!C"&amp;MATCH(V27,REF!A:A,0)),"N.C.")</f>
        <v>RES1</v>
      </c>
      <c r="AN27" s="146" t="str">
        <f ca="1">IFERROR(INDIRECT("REF!C"&amp;MATCH(AO27,REF!A:A,0)),"N.C.")</f>
        <v>N.C.</v>
      </c>
      <c r="AO27" s="31">
        <v>160</v>
      </c>
    </row>
    <row r="28" spans="1:41" x14ac:dyDescent="0.2">
      <c r="A28" s="137">
        <v>18</v>
      </c>
      <c r="B28" s="145" t="str">
        <f ca="1">IFERROR(INDIRECT("REF!C"&amp;MATCH(A28,REF!A:A,0)),"N.C.")</f>
        <v>DOUTY</v>
      </c>
      <c r="S28" s="146" t="str">
        <f ca="1">IFERROR(INDIRECT("REF!C"&amp;MATCH(T28,REF!A:A,0)),"N.C.")</f>
        <v>TCK/DAP0</v>
      </c>
      <c r="T28" s="137">
        <v>115</v>
      </c>
      <c r="V28" s="137">
        <v>62</v>
      </c>
      <c r="W28" s="145" t="str">
        <f ca="1">IFERROR(INDIRECT("REF!C"&amp;MATCH(V28,REF!A:A,0)),"N.C.")</f>
        <v>UBR1_AI</v>
      </c>
      <c r="AN28" s="146" t="str">
        <f ca="1">IFERROR(INDIRECT("REF!C"&amp;MATCH(AO28,REF!A:A,0)),"N.C.")</f>
        <v>RDYL</v>
      </c>
      <c r="AO28" s="31">
        <v>159</v>
      </c>
    </row>
    <row r="29" spans="1:41" x14ac:dyDescent="0.2">
      <c r="A29" s="137">
        <v>19</v>
      </c>
      <c r="B29" s="145" t="str">
        <f ca="1">IFERROR(INDIRECT("REF!C"&amp;MATCH(A29,REF!A:A,0)),"N.C.")</f>
        <v>DOUTZ</v>
      </c>
      <c r="S29" s="146" t="str">
        <f ca="1">IFERROR(INDIRECT("REF!C"&amp;MATCH(T29,REF!A:A,0)),"N.C.")</f>
        <v>TRST</v>
      </c>
      <c r="T29" s="137">
        <v>114</v>
      </c>
      <c r="V29" s="137">
        <v>63</v>
      </c>
      <c r="W29" s="145" t="str">
        <f ca="1">IFERROR(INDIRECT("REF!C"&amp;MATCH(V29,REF!A:A,0)),"N.C.")</f>
        <v>SINH_AI</v>
      </c>
      <c r="AN29" s="146" t="str">
        <f ca="1">IFERROR(INDIRECT("REF!C"&amp;MATCH(AO29,REF!A:A,0)),"N.C.")</f>
        <v>N.C.</v>
      </c>
      <c r="AO29" s="31">
        <v>158</v>
      </c>
    </row>
    <row r="30" spans="1:41" x14ac:dyDescent="0.2">
      <c r="A30" s="137">
        <v>20</v>
      </c>
      <c r="B30" s="145" t="str">
        <f ca="1">IFERROR(INDIRECT("REF!C"&amp;MATCH(A30,REF!A:A,0)),"N.C.")</f>
        <v>N.C.</v>
      </c>
      <c r="S30" s="146" t="str">
        <f ca="1">IFERROR(INDIRECT("REF!C"&amp;MATCH(T30,REF!A:A,0)),"N.C.")</f>
        <v>P21.7/TDO/DAP2</v>
      </c>
      <c r="T30" s="137">
        <v>113</v>
      </c>
      <c r="V30" s="137">
        <v>64</v>
      </c>
      <c r="W30" s="145" t="str">
        <f ca="1">IFERROR(INDIRECT("REF!C"&amp;MATCH(V30,REF!A:A,0)),"N.C.")</f>
        <v>SINN_DS0_AI</v>
      </c>
      <c r="AN30" s="146" t="str">
        <f ca="1">IFERROR(INDIRECT("REF!C"&amp;MATCH(AO30,REF!A:A,0)),"N.C.")</f>
        <v>N.C.</v>
      </c>
      <c r="AO30" s="31">
        <v>157</v>
      </c>
    </row>
    <row r="31" spans="1:41" x14ac:dyDescent="0.2">
      <c r="A31" s="137">
        <v>21</v>
      </c>
      <c r="B31" s="145" t="str">
        <f ca="1">IFERROR(INDIRECT("REF!C"&amp;MATCH(A31,REF!A:A,0)),"N.C.")</f>
        <v>N.C.</v>
      </c>
      <c r="S31" s="146" t="str">
        <f ca="1">IFERROR(INDIRECT("REF!C"&amp;MATCH(T31,REF!A:A,0)),"N.C.")</f>
        <v>TMS/DAP1</v>
      </c>
      <c r="T31" s="137">
        <v>112</v>
      </c>
      <c r="V31" s="137">
        <v>65</v>
      </c>
      <c r="W31" s="145" t="str">
        <f ca="1">IFERROR(INDIRECT("REF!C"&amp;MATCH(V31,REF!A:A,0)),"N.C.")</f>
        <v>SINP_DS0_AI</v>
      </c>
      <c r="AN31" s="146" t="str">
        <f ca="1">IFERROR(INDIRECT("REF!C"&amp;MATCH(AO31,REF!A:A,0)),"N.C.")</f>
        <v>RDYH</v>
      </c>
      <c r="AO31" s="31">
        <v>156</v>
      </c>
    </row>
    <row r="32" spans="1:41" x14ac:dyDescent="0.2">
      <c r="A32" s="137">
        <v>22</v>
      </c>
      <c r="B32" s="145" t="str">
        <f ca="1">IFERROR(INDIRECT("REF!C"&amp;MATCH(A32,REF!A:A,0)),"N.C.")</f>
        <v>IU_B_AI</v>
      </c>
      <c r="S32" s="146" t="str">
        <f ca="1">IFERROR(INDIRECT("REF!C"&amp;MATCH(T32,REF!A:A,0)),"N.C.")</f>
        <v>P21.6/TDI</v>
      </c>
      <c r="T32" s="137">
        <v>111</v>
      </c>
      <c r="V32" s="137">
        <v>66</v>
      </c>
      <c r="W32" s="145" t="str">
        <f ca="1">IFERROR(INDIRECT("REF!C"&amp;MATCH(V32,REF!A:A,0)),"N.C.")</f>
        <v>EXCN_DS1_AI</v>
      </c>
      <c r="AN32" s="146" t="str">
        <f ca="1">IFERROR(INDIRECT("REF!C"&amp;MATCH(AO32,REF!A:A,0)),"N.C.")</f>
        <v>VDD3V3</v>
      </c>
      <c r="AO32" s="31">
        <v>155</v>
      </c>
    </row>
    <row r="33" spans="1:41" x14ac:dyDescent="0.2">
      <c r="A33" s="137">
        <v>23</v>
      </c>
      <c r="B33" s="145" t="str">
        <f ca="1">IFERROR(INDIRECT("REF!C"&amp;MATCH(A33,REF!A:A,0)),"N.C.")</f>
        <v>IW_A_AI</v>
      </c>
      <c r="S33" s="146" t="str">
        <f ca="1">IFERROR(INDIRECT("REF!C"&amp;MATCH(T33,REF!A:A,0)),"N.C.")</f>
        <v>LED3</v>
      </c>
      <c r="T33" s="137">
        <v>110</v>
      </c>
      <c r="V33" s="137">
        <v>67</v>
      </c>
      <c r="W33" s="145" t="str">
        <f ca="1">IFERROR(INDIRECT("REF!C"&amp;MATCH(V33,REF!A:A,0)),"N.C.")</f>
        <v>EXCP_DS1_AI</v>
      </c>
      <c r="AN33" s="146" t="str">
        <f ca="1">IFERROR(INDIRECT("REF!C"&amp;MATCH(AO33,REF!A:A,0)),"N.C.")</f>
        <v>VDD3V3</v>
      </c>
      <c r="AO33" s="31">
        <v>154</v>
      </c>
    </row>
    <row r="34" spans="1:41" x14ac:dyDescent="0.2">
      <c r="A34" s="137">
        <v>24</v>
      </c>
      <c r="B34" s="145" t="str">
        <f ca="1">IFERROR(INDIRECT("REF!C"&amp;MATCH(A34,REF!A:A,0)),"N.C.")</f>
        <v>VDD1V3</v>
      </c>
      <c r="S34" s="146" t="str">
        <f ca="1">IFERROR(INDIRECT("REF!C"&amp;MATCH(T34,REF!A:A,0)),"N.C.")</f>
        <v>LED2</v>
      </c>
      <c r="T34" s="137">
        <v>109</v>
      </c>
      <c r="V34" s="137">
        <v>68</v>
      </c>
      <c r="W34" s="145" t="str">
        <f ca="1">IFERROR(INDIRECT("REF!C"&amp;MATCH(V34,REF!A:A,0)),"N.C.")</f>
        <v>VDD1V3</v>
      </c>
      <c r="AN34" s="146" t="str">
        <f ca="1">IFERROR(INDIRECT("REF!C"&amp;MATCH(AO34,REF!A:A,0)),"N.C.")</f>
        <v>VDD5</v>
      </c>
      <c r="AO34" s="31">
        <v>153</v>
      </c>
    </row>
    <row r="35" spans="1:41" x14ac:dyDescent="0.2">
      <c r="A35" s="137">
        <v>25</v>
      </c>
      <c r="B35" s="145" t="str">
        <f ca="1">IFERROR(INDIRECT("REF!C"&amp;MATCH(A35,REF!A:A,0)),"N.C.")</f>
        <v>VDD5</v>
      </c>
      <c r="S35" s="146" t="str">
        <f ca="1">IFERROR(INDIRECT("REF!C"&amp;MATCH(T35,REF!A:A,0)),"N.C.")</f>
        <v>N.C.</v>
      </c>
      <c r="T35" s="137">
        <v>108</v>
      </c>
      <c r="V35" s="137">
        <v>69</v>
      </c>
      <c r="W35" s="145" t="str">
        <f ca="1">IFERROR(INDIRECT("REF!C"&amp;MATCH(V35,REF!A:A,0)),"N.C.")</f>
        <v>VDD5</v>
      </c>
      <c r="AN35" s="146" t="str">
        <f ca="1">IFERROR(INDIRECT("REF!C"&amp;MATCH(AO35,REF!A:A,0)),"N.C.")</f>
        <v>NSTBCAN</v>
      </c>
      <c r="AO35" s="31">
        <v>152</v>
      </c>
    </row>
    <row r="36" spans="1:41" x14ac:dyDescent="0.2">
      <c r="A36" s="137">
        <v>26</v>
      </c>
      <c r="B36" s="145" t="str">
        <f ca="1">IFERROR(INDIRECT("REF!C"&amp;MATCH(A36,REF!A:A,0)),"N.C.")</f>
        <v>VAREF2</v>
      </c>
      <c r="S36" s="146" t="str">
        <f ca="1">IFERROR(INDIRECT("REF!C"&amp;MATCH(T36,REF!A:A,0)),"N.C.")</f>
        <v>N.C.</v>
      </c>
      <c r="T36" s="137">
        <v>107</v>
      </c>
      <c r="V36" s="137">
        <v>70</v>
      </c>
      <c r="W36" s="145" t="str">
        <f ca="1">IFERROR(INDIRECT("REF!C"&amp;MATCH(V36,REF!A:A,0)),"N.C.")</f>
        <v>NOC</v>
      </c>
      <c r="AN36" s="146" t="str">
        <f ca="1">IFERROR(INDIRECT("REF!C"&amp;MATCH(AO36,REF!A:A,0)),"N.C.")</f>
        <v>ENCAN</v>
      </c>
      <c r="AO36" s="31">
        <v>151</v>
      </c>
    </row>
    <row r="37" spans="1:41" x14ac:dyDescent="0.2">
      <c r="A37" s="137">
        <v>27</v>
      </c>
      <c r="B37" s="145" t="str">
        <f ca="1">IFERROR(INDIRECT("REF!C"&amp;MATCH(A37,REF!A:A,0)),"N.C.")</f>
        <v>GND</v>
      </c>
      <c r="S37" s="146" t="str">
        <f ca="1">IFERROR(INDIRECT("REF!C"&amp;MATCH(T37,REF!A:A,0)),"N.C.")</f>
        <v>LED1</v>
      </c>
      <c r="T37" s="137">
        <v>106</v>
      </c>
      <c r="V37" s="137">
        <v>71</v>
      </c>
      <c r="W37" s="145" t="str">
        <f ca="1">IFERROR(INDIRECT("REF!C"&amp;MATCH(V37,REF!A:A,0)),"N.C.")</f>
        <v>OCLOCK</v>
      </c>
      <c r="AN37" s="146" t="str">
        <f ca="1">IFERROR(INDIRECT("REF!C"&amp;MATCH(AO37,REF!A:A,0)),"N.C.")</f>
        <v>ENH</v>
      </c>
      <c r="AO37" s="31">
        <v>150</v>
      </c>
    </row>
    <row r="38" spans="1:41" x14ac:dyDescent="0.2">
      <c r="A38" s="137">
        <v>28</v>
      </c>
      <c r="B38" s="145" t="str">
        <f ca="1">IFERROR(INDIRECT("REF!C"&amp;MATCH(A38,REF!A:A,0)),"N.C.")</f>
        <v>VDD15_AI</v>
      </c>
      <c r="S38" s="146" t="str">
        <f ca="1">IFERROR(INDIRECT("REF!C"&amp;MATCH(T38,REF!A:A,0)),"N.C.")</f>
        <v>N.C.</v>
      </c>
      <c r="T38" s="137">
        <v>105</v>
      </c>
      <c r="V38" s="137">
        <v>72</v>
      </c>
      <c r="W38" s="145" t="str">
        <f ca="1">IFERROR(INDIRECT("REF!C"&amp;MATCH(V38,REF!A:A,0)),"N.C.")</f>
        <v>NOV1</v>
      </c>
      <c r="AN38" s="146" t="str">
        <f ca="1">IFERROR(INDIRECT("REF!C"&amp;MATCH(AO38,REF!A:A,0)),"N.C.")</f>
        <v>ENL</v>
      </c>
      <c r="AO38" s="31">
        <v>149</v>
      </c>
    </row>
    <row r="39" spans="1:41" x14ac:dyDescent="0.2">
      <c r="A39" s="137">
        <v>29</v>
      </c>
      <c r="B39" s="145" t="str">
        <f ca="1">IFERROR(INDIRECT("REF!C"&amp;MATCH(A39,REF!A:A,0)),"N.C.")</f>
        <v>N.C.</v>
      </c>
      <c r="S39" s="146" t="str">
        <f ca="1">IFERROR(INDIRECT("REF!C"&amp;MATCH(T39,REF!A:A,0)),"N.C.")</f>
        <v>VDD3V3</v>
      </c>
      <c r="T39" s="137">
        <v>104</v>
      </c>
      <c r="V39" s="137">
        <v>73</v>
      </c>
      <c r="W39" s="145" t="str">
        <f ca="1">IFERROR(INDIRECT("REF!C"&amp;MATCH(V39,REF!A:A,0)),"N.C.")</f>
        <v>NOV2</v>
      </c>
      <c r="AN39" s="146" t="str">
        <f ca="1">IFERROR(INDIRECT("REF!C"&amp;MATCH(AO39,REF!A:A,0)),"N.C.")</f>
        <v>HWCFG0</v>
      </c>
      <c r="AO39" s="31">
        <v>148</v>
      </c>
    </row>
    <row r="40" spans="1:41" x14ac:dyDescent="0.2">
      <c r="A40" s="137">
        <v>30</v>
      </c>
      <c r="B40" s="145" t="str">
        <f ca="1">IFERROR(INDIRECT("REF!C"&amp;MATCH(A40,REF!A:A,0)),"N.C.")</f>
        <v>IW_B_AI</v>
      </c>
      <c r="S40" s="146" t="str">
        <f ca="1">IFERROR(INDIRECT("REF!C"&amp;MATCH(T40,REF!A:A,0)),"N.C.")</f>
        <v>XTAL2</v>
      </c>
      <c r="T40" s="137">
        <v>103</v>
      </c>
      <c r="V40" s="137">
        <v>74</v>
      </c>
      <c r="W40" s="145" t="str">
        <f ca="1">IFERROR(INDIRECT("REF!C"&amp;MATCH(V40,REF!A:A,0)),"N.C.")</f>
        <v>N.C.</v>
      </c>
      <c r="AN40" s="146" t="str">
        <f ca="1">IFERROR(INDIRECT("REF!C"&amp;MATCH(AO40,REF!A:A,0)),"N.C.")</f>
        <v>HWCFG1</v>
      </c>
      <c r="AO40" s="31">
        <v>147</v>
      </c>
    </row>
    <row r="41" spans="1:41" x14ac:dyDescent="0.2">
      <c r="A41" s="137">
        <v>31</v>
      </c>
      <c r="B41" s="145" t="str">
        <f ca="1">IFERROR(INDIRECT("REF!C"&amp;MATCH(A41,REF!A:A,0)),"N.C.")</f>
        <v>IV_A_AI</v>
      </c>
      <c r="S41" s="146" t="str">
        <f ca="1">IFERROR(INDIRECT("REF!C"&amp;MATCH(T41,REF!A:A,0)),"N.C.")</f>
        <v>XTAL1</v>
      </c>
      <c r="T41" s="137">
        <v>102</v>
      </c>
      <c r="V41" s="137">
        <v>75</v>
      </c>
      <c r="W41" s="145" t="str">
        <f ca="1">IFERROR(INDIRECT("REF!C"&amp;MATCH(V41,REF!A:A,0)),"N.C.")</f>
        <v>N.C.</v>
      </c>
      <c r="AN41" s="146" t="str">
        <f ca="1">IFERROR(INDIRECT("REF!C"&amp;MATCH(AO41,REF!A:A,0)),"N.C.")</f>
        <v>HWCFG6</v>
      </c>
      <c r="AO41" s="31">
        <v>146</v>
      </c>
    </row>
    <row r="42" spans="1:41" x14ac:dyDescent="0.2">
      <c r="A42" s="137">
        <v>32</v>
      </c>
      <c r="B42" s="145" t="str">
        <f ca="1">IFERROR(INDIRECT("REF!C"&amp;MATCH(A42,REF!A:A,0)),"N.C.")</f>
        <v>N.C.</v>
      </c>
      <c r="S42" s="146" t="str">
        <f ca="1">IFERROR(INDIRECT("REF!C"&amp;MATCH(T42,REF!A:A,0)),"N.C.")</f>
        <v>GND</v>
      </c>
      <c r="T42" s="137">
        <v>101</v>
      </c>
      <c r="V42" s="137">
        <v>76</v>
      </c>
      <c r="W42" s="145" t="str">
        <f ca="1">IFERROR(INDIRECT("REF!C"&amp;MATCH(V42,REF!A:A,0)),"N.C.")</f>
        <v>N.C.</v>
      </c>
      <c r="AN42" s="146" t="str">
        <f ca="1">IFERROR(INDIRECT("REF!C"&amp;MATCH(AO42,REF!A:A,0)),"N.C.")</f>
        <v>HWCFG3</v>
      </c>
      <c r="AO42" s="31">
        <v>145</v>
      </c>
    </row>
    <row r="43" spans="1:41" x14ac:dyDescent="0.2">
      <c r="A43" s="137">
        <v>33</v>
      </c>
      <c r="B43" s="145" t="str">
        <f ca="1">IFERROR(INDIRECT("REF!C"&amp;MATCH(A43,REF!A:A,0)),"N.C.")</f>
        <v>HWVER_AI</v>
      </c>
      <c r="S43" s="146" t="str">
        <f ca="1">IFERROR(INDIRECT("REF!C"&amp;MATCH(T43,REF!A:A,0)),"N.C.")</f>
        <v>VDD1V3</v>
      </c>
      <c r="T43" s="137">
        <v>100</v>
      </c>
      <c r="V43" s="137">
        <v>77</v>
      </c>
      <c r="W43" s="145" t="str">
        <f ca="1">IFERROR(INDIRECT("REF!C"&amp;MATCH(V43,REF!A:A,0)),"N.C.")</f>
        <v>N.C.</v>
      </c>
      <c r="AN43" s="146" t="str">
        <f ca="1">IFERROR(INDIRECT("REF!C"&amp;MATCH(AO43,REF!A:A,0)),"N.C.")</f>
        <v>HWCFG2</v>
      </c>
      <c r="AO43" s="31">
        <v>144</v>
      </c>
    </row>
    <row r="44" spans="1:41" x14ac:dyDescent="0.2">
      <c r="A44" s="137">
        <v>34</v>
      </c>
      <c r="B44" s="145" t="str">
        <f ca="1">IFERROR(INDIRECT("REF!C"&amp;MATCH(A44,REF!A:A,0)),"N.C.")</f>
        <v>UBR2_AI</v>
      </c>
      <c r="S44" s="146" t="str">
        <f ca="1">IFERROR(INDIRECT("REF!C"&amp;MATCH(T44,REF!A:A,0)),"N.C.")</f>
        <v>VDD5</v>
      </c>
      <c r="T44" s="137">
        <v>99</v>
      </c>
      <c r="V44" s="137">
        <v>78</v>
      </c>
      <c r="W44" s="145" t="str">
        <f ca="1">IFERROR(INDIRECT("REF!C"&amp;MATCH(V44,REF!A:A,0)),"N.C.")</f>
        <v>SBC_ERR</v>
      </c>
      <c r="AN44" s="146" t="str">
        <f ca="1">IFERROR(INDIRECT("REF!C"&amp;MATCH(AO44,REF!A:A,0)),"N.C.")</f>
        <v>CAN1RXD</v>
      </c>
      <c r="AO44" s="31">
        <v>143</v>
      </c>
    </row>
    <row r="45" spans="1:41" x14ac:dyDescent="0.2">
      <c r="A45" s="137">
        <v>35</v>
      </c>
      <c r="B45" s="145" t="str">
        <f ca="1">IFERROR(INDIRECT("REF!C"&amp;MATCH(A45,REF!A:A,0)),"N.C.")</f>
        <v>RES3</v>
      </c>
      <c r="S45" s="146" t="str">
        <f ca="1">IFERROR(INDIRECT("REF!C"&amp;MATCH(T45,REF!A:A,0)),"N.C.")</f>
        <v>DRV_CLK3</v>
      </c>
      <c r="T45" s="137">
        <v>98</v>
      </c>
      <c r="V45" s="137">
        <v>79</v>
      </c>
      <c r="W45" s="145" t="str">
        <f ca="1">IFERROR(INDIRECT("REF!C"&amp;MATCH(V45,REF!A:A,0)),"N.C.")</f>
        <v>N.C.</v>
      </c>
      <c r="AN45" s="146" t="str">
        <f ca="1">IFERROR(INDIRECT("REF!C"&amp;MATCH(AO45,REF!A:A,0)),"N.C.")</f>
        <v>CAN1TXD</v>
      </c>
      <c r="AO45" s="31">
        <v>142</v>
      </c>
    </row>
    <row r="46" spans="1:41" x14ac:dyDescent="0.2">
      <c r="A46" s="137">
        <v>36</v>
      </c>
      <c r="B46" s="145" t="str">
        <f ca="1">IFERROR(INDIRECT("REF!C"&amp;MATCH(A46,REF!A:A,0)),"N.C.")</f>
        <v>ADCTEST_AI</v>
      </c>
      <c r="S46" s="146" t="str">
        <f ca="1">IFERROR(INDIRECT("REF!C"&amp;MATCH(T46,REF!A:A,0)),"N.C.")</f>
        <v>DRV_CS312H</v>
      </c>
      <c r="T46" s="137">
        <v>97</v>
      </c>
      <c r="V46" s="137">
        <v>80</v>
      </c>
      <c r="W46" s="145" t="str">
        <f ca="1">IFERROR(INDIRECT("REF!C"&amp;MATCH(V46,REF!A:A,0)),"N.C.")</f>
        <v>N.C.</v>
      </c>
      <c r="AN46" s="146" t="str">
        <f ca="1">IFERROR(INDIRECT("REF!C"&amp;MATCH(AO46,REF!A:A,0)),"N.C.")</f>
        <v>VADCTRG</v>
      </c>
      <c r="AO46" s="31">
        <v>141</v>
      </c>
    </row>
    <row r="47" spans="1:41" x14ac:dyDescent="0.2">
      <c r="A47" s="137">
        <v>37</v>
      </c>
      <c r="B47" s="145" t="str">
        <f ca="1">IFERROR(INDIRECT("REF!C"&amp;MATCH(A47,REF!A:A,0)),"N.C.")</f>
        <v>IV_B_AI</v>
      </c>
      <c r="S47" s="146" t="str">
        <f ca="1">IFERROR(INDIRECT("REF!C"&amp;MATCH(T47,REF!A:A,0)),"N.C.")</f>
        <v>DRV_MRST3</v>
      </c>
      <c r="T47" s="137">
        <v>96</v>
      </c>
      <c r="V47" s="137">
        <v>81</v>
      </c>
      <c r="W47" s="145" t="str">
        <f ca="1">IFERROR(INDIRECT("REF!C"&amp;MATCH(V47,REF!A:A,0)),"N.C.")</f>
        <v>EXCLO</v>
      </c>
      <c r="AN47" s="146" t="str">
        <f ca="1">IFERROR(INDIRECT("REF!C"&amp;MATCH(AO47,REF!A:A,0)),"N.C.")</f>
        <v>N.C.</v>
      </c>
      <c r="AO47" s="31">
        <v>140</v>
      </c>
    </row>
    <row r="48" spans="1:41" x14ac:dyDescent="0.2">
      <c r="A48" s="137">
        <v>38</v>
      </c>
      <c r="B48" s="145" t="str">
        <f ca="1">IFERROR(INDIRECT("REF!C"&amp;MATCH(A48,REF!A:A,0)),"N.C.")</f>
        <v>IU_A_AI</v>
      </c>
      <c r="S48" s="146" t="str">
        <f ca="1">IFERROR(INDIRECT("REF!C"&amp;MATCH(T48,REF!A:A,0)),"N.C.")</f>
        <v>DRV_MTSR3</v>
      </c>
      <c r="T48" s="137">
        <v>95</v>
      </c>
      <c r="V48" s="137">
        <v>82</v>
      </c>
      <c r="W48" s="145" t="str">
        <f ca="1">IFERROR(INDIRECT("REF!C"&amp;MATCH(V48,REF!A:A,0)),"N.C.")</f>
        <v>EXCHO</v>
      </c>
      <c r="AN48" s="146" t="str">
        <f ca="1">IFERROR(INDIRECT("REF!C"&amp;MATCH(AO48,REF!A:A,0)),"N.C.")</f>
        <v>SBC_TM</v>
      </c>
      <c r="AO48" s="31">
        <v>139</v>
      </c>
    </row>
    <row r="49" spans="1:41" x14ac:dyDescent="0.2">
      <c r="A49" s="137">
        <v>39</v>
      </c>
      <c r="B49" s="145" t="str">
        <f ca="1">IFERROR(INDIRECT("REF!C"&amp;MATCH(A49,REF!A:A,0)),"N.C.")</f>
        <v>N.C.</v>
      </c>
      <c r="S49" s="146" t="str">
        <f ca="1">IFERROR(INDIRECT("REF!C"&amp;MATCH(T49,REF!A:A,0)),"N.C.")</f>
        <v>N.C.</v>
      </c>
      <c r="T49" s="137">
        <v>94</v>
      </c>
      <c r="V49" s="137">
        <v>83</v>
      </c>
      <c r="W49" s="145" t="str">
        <f ca="1">IFERROR(INDIRECT("REF!C"&amp;MATCH(V49,REF!A:A,0)),"N.C.")</f>
        <v>N.C.</v>
      </c>
      <c r="AN49" s="146" t="str">
        <f ca="1">IFERROR(INDIRECT("REF!C"&amp;MATCH(AO49,REF!A:A,0)),"N.C.")</f>
        <v>CFI</v>
      </c>
      <c r="AO49" s="31">
        <v>138</v>
      </c>
    </row>
    <row r="50" spans="1:41" x14ac:dyDescent="0.2">
      <c r="A50" s="137">
        <v>40</v>
      </c>
      <c r="B50" s="145" t="str">
        <f ca="1">IFERROR(INDIRECT("REF!C"&amp;MATCH(A50,REF!A:A,0)),"N.C.")</f>
        <v>RES4</v>
      </c>
      <c r="S50" s="146" t="str">
        <f ca="1">IFERROR(INDIRECT("REF!C"&amp;MATCH(T50,REF!A:A,0)),"N.C.")</f>
        <v>OCPWML</v>
      </c>
      <c r="T50" s="137">
        <v>93</v>
      </c>
      <c r="V50" s="137">
        <v>84</v>
      </c>
      <c r="W50" s="145" t="str">
        <f ca="1">IFERROR(INDIRECT("REF!C"&amp;MATCH(V50,REF!A:A,0)),"N.C.")</f>
        <v>VGATE1N</v>
      </c>
      <c r="AN50" s="146" t="str">
        <f ca="1">IFERROR(INDIRECT("REF!C"&amp;MATCH(AO50,REF!A:A,0)),"N.C.")</f>
        <v>ST_L2_ASCEN</v>
      </c>
      <c r="AO50" s="31">
        <v>137</v>
      </c>
    </row>
    <row r="51" spans="1:41" x14ac:dyDescent="0.2">
      <c r="A51" s="137">
        <v>41</v>
      </c>
      <c r="B51" s="145" t="str">
        <f ca="1">IFERROR(INDIRECT("REF!C"&amp;MATCH(A51,REF!A:A,0)),"N.C.")</f>
        <v>VDD5COM_AI</v>
      </c>
      <c r="S51" s="146" t="str">
        <f ca="1">IFERROR(INDIRECT("REF!C"&amp;MATCH(T51,REF!A:A,0)),"N.C.")</f>
        <v>OCPWMH</v>
      </c>
      <c r="T51" s="137">
        <v>92</v>
      </c>
      <c r="V51" s="137">
        <v>85</v>
      </c>
      <c r="W51" s="145" t="str">
        <f ca="1">IFERROR(INDIRECT("REF!C"&amp;MATCH(V51,REF!A:A,0)),"N.C.")</f>
        <v>VGATE1P</v>
      </c>
      <c r="AN51" s="146" t="str">
        <f ca="1">IFERROR(INDIRECT("REF!C"&amp;MATCH(AO51,REF!A:A,0)),"N.C.")</f>
        <v>L2_ASCEN</v>
      </c>
      <c r="AO51" s="31">
        <v>136</v>
      </c>
    </row>
    <row r="52" spans="1:41" x14ac:dyDescent="0.2">
      <c r="A52" s="137">
        <v>42</v>
      </c>
      <c r="B52" s="145" t="str">
        <f ca="1">IFERROR(INDIRECT("REF!C"&amp;MATCH(A52,REF!A:A,0)),"N.C.")</f>
        <v>N.C.</v>
      </c>
      <c r="S52" s="146" t="str">
        <f ca="1">IFERROR(INDIRECT("REF!C"&amp;MATCH(T52,REF!A:A,0)),"N.C.")</f>
        <v>N.C.</v>
      </c>
      <c r="T52" s="137">
        <v>91</v>
      </c>
      <c r="V52" s="137">
        <v>86</v>
      </c>
      <c r="W52" s="145" t="str">
        <f ca="1">IFERROR(INDIRECT("REF!C"&amp;MATCH(V52,REF!A:A,0)),"N.C.")</f>
        <v>MTEM1SEL</v>
      </c>
      <c r="AN52" s="146" t="str">
        <f ca="1">IFERROR(INDIRECT("REF!C"&amp;MATCH(AO52,REF!A:A,0)),"N.C.")</f>
        <v>NOC_CLR</v>
      </c>
      <c r="AO52" s="31">
        <v>135</v>
      </c>
    </row>
    <row r="53" spans="1:41" x14ac:dyDescent="0.2">
      <c r="A53" s="137">
        <v>43</v>
      </c>
      <c r="B53" s="145" t="str">
        <f ca="1">IFERROR(INDIRECT("REF!C"&amp;MATCH(A53,REF!A:A,0)),"N.C.")</f>
        <v>HVUN_AI</v>
      </c>
      <c r="S53" s="146" t="str">
        <f ca="1">IFERROR(INDIRECT("REF!C"&amp;MATCH(T53,REF!A:A,0)),"N.C.")</f>
        <v>DRV_CS313L</v>
      </c>
      <c r="T53" s="137">
        <v>90</v>
      </c>
      <c r="V53" s="137">
        <v>87</v>
      </c>
      <c r="W53" s="145" t="str">
        <f ca="1">IFERROR(INDIRECT("REF!C"&amp;MATCH(V53,REF!A:A,0)),"N.C.")</f>
        <v>MTEM2SEL</v>
      </c>
      <c r="AN53" s="146" t="str">
        <f ca="1">IFERROR(INDIRECT("REF!C"&amp;MATCH(AO53,REF!A:A,0)),"N.C.")</f>
        <v>CAN2RXD</v>
      </c>
      <c r="AO53" s="31">
        <v>134</v>
      </c>
    </row>
    <row r="54" spans="1:41" x14ac:dyDescent="0.2">
      <c r="A54" s="137">
        <v>44</v>
      </c>
      <c r="B54" s="145" t="str">
        <f ca="1">IFERROR(INDIRECT("REF!C"&amp;MATCH(A54,REF!A:A,0)),"N.C.")</f>
        <v>COSL_AI</v>
      </c>
      <c r="S54" s="146" t="str">
        <f ca="1">IFERROR(INDIRECT("REF!C"&amp;MATCH(T54,REF!A:A,0)),"N.C.")</f>
        <v>MR</v>
      </c>
      <c r="T54" s="137">
        <v>89</v>
      </c>
      <c r="V54" s="137">
        <v>88</v>
      </c>
      <c r="W54" s="145" t="str">
        <f ca="1">IFERROR(INDIRECT("REF!C"&amp;MATCH(V54,REF!A:A,0)),"N.C.")</f>
        <v>N.C.</v>
      </c>
      <c r="AN54" s="146" t="str">
        <f ca="1">IFERROR(INDIRECT("REF!C"&amp;MATCH(AO54,REF!A:A,0)),"N.C.")</f>
        <v>CAN2TXD</v>
      </c>
      <c r="AO54" s="31">
        <v>133</v>
      </c>
    </row>
  </sheetData>
  <sheetProtection password="CF7A" sheet="1" objects="1" scenarios="1"/>
  <mergeCells count="4">
    <mergeCell ref="C2:D2"/>
    <mergeCell ref="E2:F2"/>
    <mergeCell ref="G2:H2"/>
    <mergeCell ref="I2:J2"/>
  </mergeCells>
  <phoneticPr fontId="40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ChangeHistory</vt:lpstr>
      <vt:lpstr>HSI</vt:lpstr>
      <vt:lpstr>REF</vt:lpstr>
      <vt:lpstr>TC275</vt:lpstr>
    </vt:vector>
  </TitlesOfParts>
  <Company>BOSCH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ZhangXingchun</dc:creator>
  <cp:lastModifiedBy>xingchun.zhang</cp:lastModifiedBy>
  <cp:lastPrinted>2017-11-15T07:43:21Z</cp:lastPrinted>
  <dcterms:created xsi:type="dcterms:W3CDTF">2011-11-23T08:00:18Z</dcterms:created>
  <dcterms:modified xsi:type="dcterms:W3CDTF">2019-05-28T09:52:42Z</dcterms:modified>
</cp:coreProperties>
</file>