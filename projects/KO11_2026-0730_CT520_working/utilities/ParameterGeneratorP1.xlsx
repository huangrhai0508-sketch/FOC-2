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7270" tabRatio="837" firstSheet="4" activeTab="4"/>
  </bookViews>
  <sheets>
    <sheet name="Overview" sheetId="13" r:id="rId1"/>
    <sheet name="DataTypeDefinition" sheetId="1" r:id="rId2"/>
    <sheet name="ParameterDefinition" sheetId="3" r:id="rId3"/>
    <sheet name="ParameterDefinition2" sheetId="24" r:id="rId4"/>
    <sheet name="TableDefinition" sheetId="14" r:id="rId5"/>
    <sheet name="SignalDefinition" sheetId="8" r:id="rId6"/>
    <sheet name="BusDefinition" sheetId="22" r:id="rId7"/>
    <sheet name="Comment" sheetId="5" r:id="rId8"/>
    <sheet name="ModuleDefination" sheetId="11" r:id="rId9"/>
    <sheet name="TableProcess" sheetId="18" r:id="rId10"/>
    <sheet name="Sheet1" sheetId="23" r:id="rId11"/>
  </sheets>
  <externalReferences>
    <externalReference r:id="rId12"/>
    <externalReference r:id="rId13"/>
    <externalReference r:id="rId14"/>
  </externalReferences>
  <definedNames>
    <definedName name="_xlnm._FilterDatabase" localSheetId="5" hidden="1">SignalDefinition!$A$1:$O$173</definedName>
    <definedName name="_xlnm._FilterDatabase" localSheetId="6" hidden="1">BusDefinition!$A$1:$K$254</definedName>
  </definedNames>
  <calcPr calcId="144525"/>
</workbook>
</file>

<file path=xl/comments1.xml><?xml version="1.0" encoding="utf-8"?>
<comments xmlns="http://schemas.openxmlformats.org/spreadsheetml/2006/main">
  <authors>
    <author>zhang</author>
    <author>xingchun.zhang</author>
  </authors>
  <commentList>
    <comment ref="A4" authorId="0">
      <text>
        <r>
          <rPr>
            <b/>
            <sz val="9"/>
            <rFont val="宋体"/>
            <charset val="134"/>
          </rPr>
          <t>zhang:</t>
        </r>
        <r>
          <rPr>
            <sz val="9"/>
            <rFont val="宋体"/>
            <charset val="134"/>
          </rPr>
          <t xml:space="preserve">
offsAgRtrElec_C最终只为标定初始时的offsAgRtrElec_C值+标定结果值ISC_agAlOfsCal。标定之后需要重启</t>
        </r>
      </text>
    </comment>
    <comment ref="C4" authorId="1">
      <text>
        <r>
          <rPr>
            <b/>
            <sz val="9"/>
            <rFont val="宋体"/>
            <charset val="134"/>
          </rPr>
          <t>xingchun.zhang:</t>
        </r>
        <r>
          <rPr>
            <sz val="9"/>
            <rFont val="宋体"/>
            <charset val="134"/>
          </rPr>
          <t xml:space="preserve">
 电机4对极，旋变1对极，偏置为-16383，原因未查.实际电机0位置为4623
云迪菲仕电机：28770</t>
        </r>
      </text>
    </comment>
  </commentList>
</comments>
</file>

<file path=xl/comments2.xml><?xml version="1.0" encoding="utf-8"?>
<comments xmlns="http://schemas.openxmlformats.org/spreadsheetml/2006/main">
  <authors>
    <author>xingchun.zhang</author>
  </authors>
  <commentList>
    <comment ref="A1" authorId="0">
      <text>
        <r>
          <rPr>
            <b/>
            <sz val="9"/>
            <rFont val="宋体"/>
            <charset val="134"/>
          </rPr>
          <t>xingchun.zhang:</t>
        </r>
        <r>
          <rPr>
            <sz val="9"/>
            <rFont val="宋体"/>
            <charset val="134"/>
          </rPr>
          <t xml:space="preserve">
注意：Simulink中2D MAP不能复用</t>
        </r>
      </text>
    </comment>
  </commentList>
</comments>
</file>

<file path=xl/sharedStrings.xml><?xml version="1.0" encoding="utf-8"?>
<sst xmlns="http://schemas.openxmlformats.org/spreadsheetml/2006/main" count="3831" uniqueCount="865">
  <si>
    <t>Assumpation:</t>
  </si>
  <si>
    <t>1. data type single is the default physical signals</t>
  </si>
  <si>
    <t>2. The PF_ only used in CAN blocks</t>
  </si>
  <si>
    <t>3. Enumeration signals defined in a m file dirctly.</t>
  </si>
  <si>
    <t>4._P for static calibratable parameters, _C for calibratable variant, _T for calibratable Map</t>
  </si>
  <si>
    <t>5. Singles start with three characters, which is the abberiation of the belonged blocks</t>
  </si>
  <si>
    <t>6. No blank lines at the end of parameter and signals</t>
  </si>
  <si>
    <t>7. Only signals from low level in CAN starts with ACI_   (ACI_ is the keyword for automodeling)</t>
  </si>
  <si>
    <t>8. EGM: EnumerateType Gate Mode; ECM: EnumerateType Control Mode; ESM: EnumerateType System Mode;</t>
  </si>
  <si>
    <t>Change History</t>
  </si>
  <si>
    <t>Date</t>
  </si>
  <si>
    <t>Description</t>
  </si>
  <si>
    <t>Author</t>
  </si>
  <si>
    <t>20160xxx</t>
  </si>
  <si>
    <t>First issue</t>
  </si>
  <si>
    <t>ZXC</t>
  </si>
  <si>
    <t>Add some parameters for DSM</t>
  </si>
  <si>
    <t>ZWB</t>
  </si>
  <si>
    <t>Move enumeration signals to m files</t>
  </si>
  <si>
    <t>Add column O 'Module' in SignalDefinition</t>
  </si>
  <si>
    <t>Add TableDefinition</t>
  </si>
  <si>
    <t>Add Buses between cores</t>
  </si>
  <si>
    <r>
      <rPr>
        <sz val="11"/>
        <color theme="1"/>
        <rFont val="宋体"/>
        <charset val="134"/>
        <scheme val="minor"/>
      </rPr>
      <t>d</t>
    </r>
    <r>
      <rPr>
        <sz val="11"/>
        <color theme="1"/>
        <rFont val="宋体"/>
        <charset val="134"/>
        <scheme val="minor"/>
      </rPr>
      <t>elete GPIST GPOST VADCST in BusDefinition</t>
    </r>
  </si>
  <si>
    <r>
      <rPr>
        <sz val="11"/>
        <color theme="1"/>
        <rFont val="宋体"/>
        <charset val="134"/>
        <scheme val="minor"/>
      </rPr>
      <t>Z</t>
    </r>
    <r>
      <rPr>
        <sz val="11"/>
        <color theme="1"/>
        <rFont val="宋体"/>
        <charset val="134"/>
        <scheme val="minor"/>
      </rPr>
      <t>WB</t>
    </r>
  </si>
  <si>
    <r>
      <rPr>
        <sz val="11"/>
        <color theme="1"/>
        <rFont val="宋体"/>
        <charset val="134"/>
        <scheme val="minor"/>
      </rPr>
      <t>T</t>
    </r>
    <r>
      <rPr>
        <sz val="11"/>
        <color theme="1"/>
        <rFont val="宋体"/>
        <charset val="134"/>
        <scheme val="minor"/>
      </rPr>
      <t>he three are moved in a sperate xls file</t>
    </r>
  </si>
  <si>
    <t>DataTypeName</t>
  </si>
  <si>
    <t>Simulink</t>
  </si>
  <si>
    <t>DataTypeMode</t>
  </si>
  <si>
    <t>Signedness</t>
  </si>
  <si>
    <t>IsAlias</t>
  </si>
  <si>
    <t>DataScope</t>
  </si>
  <si>
    <t>WordLength</t>
  </si>
  <si>
    <t>FractionLength</t>
  </si>
  <si>
    <t>Min</t>
  </si>
  <si>
    <t>Max</t>
  </si>
  <si>
    <t>Headerfile</t>
  </si>
  <si>
    <t>Fomulas</t>
  </si>
  <si>
    <t>Comment</t>
  </si>
  <si>
    <t>uint8</t>
  </si>
  <si>
    <t>Standard definition</t>
  </si>
  <si>
    <t>int8</t>
  </si>
  <si>
    <t>uint16</t>
  </si>
  <si>
    <t>int16</t>
  </si>
  <si>
    <t>uint32</t>
  </si>
  <si>
    <t>int32</t>
  </si>
  <si>
    <t>single</t>
  </si>
  <si>
    <t>boolean</t>
  </si>
  <si>
    <t>Enum: EGM</t>
  </si>
  <si>
    <t>Enum:ECM</t>
  </si>
  <si>
    <t>Enum:ESM</t>
  </si>
  <si>
    <t>Enum:TQL</t>
  </si>
  <si>
    <t>Enum:EIS</t>
  </si>
  <si>
    <t>Enum:EiceSilOPM</t>
  </si>
  <si>
    <t>Enum:EiceSilSM</t>
  </si>
  <si>
    <t>Bus:CDDIN1ST</t>
  </si>
  <si>
    <t>Bus:CDDIN2ST</t>
  </si>
  <si>
    <t>Bus:CDDOUTST</t>
  </si>
  <si>
    <t>Bus:CANRXDST</t>
  </si>
  <si>
    <t>Bus:CANTXDST</t>
  </si>
  <si>
    <t>Bus:GPOST</t>
  </si>
  <si>
    <t>Bus:GPIST</t>
  </si>
  <si>
    <t>Bus:VADC0ST</t>
  </si>
  <si>
    <t>Bus: CDDHwMgrST</t>
  </si>
  <si>
    <t>Bus: Sig10ms20ST</t>
  </si>
  <si>
    <t>Bus: Sig10ms02ST</t>
  </si>
  <si>
    <t>Bus: Sig1ms02ST</t>
  </si>
  <si>
    <t>Bus: VADC2ST</t>
  </si>
  <si>
    <t>Bus: VADC1ST</t>
  </si>
  <si>
    <t>Bus: Bsw2Asw10msST</t>
  </si>
  <si>
    <t>ParameterName</t>
  </si>
  <si>
    <t>Value</t>
  </si>
  <si>
    <t>DataType</t>
  </si>
  <si>
    <t>Unit</t>
  </si>
  <si>
    <t>StorageClass</t>
  </si>
  <si>
    <t>CustomStorageClass</t>
  </si>
  <si>
    <t>HeaderFile</t>
  </si>
  <si>
    <t>DefinitionFile</t>
  </si>
  <si>
    <t>g_msgCore0to2_facAdc2uDclnk_C</t>
  </si>
  <si>
    <t>Parameter</t>
  </si>
  <si>
    <t>NA</t>
  </si>
  <si>
    <t>Custom</t>
  </si>
  <si>
    <t>ConstVolatile</t>
  </si>
  <si>
    <t>Parameter.h</t>
  </si>
  <si>
    <t>Parameter.c</t>
  </si>
  <si>
    <t>Ratio of HVvoltage to actual value</t>
  </si>
  <si>
    <t>g_msgCore0to2_facAdc2iPh_C</t>
  </si>
  <si>
    <t>Ratio of phase current to actual value</t>
  </si>
  <si>
    <t>g_msgCore0to2_offsAgRtrElec_C</t>
  </si>
  <si>
    <t>Offset angle</t>
  </si>
  <si>
    <t>g_msgCore0to2_UsdScalThdOfsCal_C</t>
  </si>
  <si>
    <t>Usd  threhold in rotor position calibraion</t>
  </si>
  <si>
    <t>g_msgCore0to2_SC_TrqMax_P</t>
  </si>
  <si>
    <t>Nm</t>
  </si>
  <si>
    <t>Global maximum torque  in application</t>
  </si>
  <si>
    <t>g_msgCore0to2_SC_TrqMaxCore2_P</t>
  </si>
  <si>
    <t>g_msgCore0to2_SC_PwrMax_P</t>
  </si>
  <si>
    <t>W</t>
  </si>
  <si>
    <t>Global maximum power in application</t>
  </si>
  <si>
    <t>g_msgCore0to2_SC_IsMax_P</t>
  </si>
  <si>
    <t>A</t>
  </si>
  <si>
    <t>Global maximum current rms value</t>
  </si>
  <si>
    <t>g_msgCore0to2_SC_p_P</t>
  </si>
  <si>
    <t>Emachine pole pairs</t>
  </si>
  <si>
    <t>g_msgCore0to2_SC_Ld_P</t>
  </si>
  <si>
    <t>H</t>
  </si>
  <si>
    <t>typical d-axis inductance</t>
  </si>
  <si>
    <t>g_msgCore0to2_SC_Lq_P</t>
  </si>
  <si>
    <t>typical q-axis inductance</t>
  </si>
  <si>
    <t>g_msgCore0to2_SC_pRsv_P</t>
  </si>
  <si>
    <t>Resolver pole pairs</t>
  </si>
  <si>
    <t>g_msgCore0to2_SC_Rs20_P</t>
  </si>
  <si>
    <t>(pmsm.RsA+pmsm.RsB+pmsm.RsC)/3</t>
  </si>
  <si>
    <t>Ohm</t>
  </si>
  <si>
    <t>typical stator phase resistance at 20degree</t>
  </si>
  <si>
    <t>g_msgCore0to2_SC_Psi_P</t>
  </si>
  <si>
    <t>typical psi peak value</t>
  </si>
  <si>
    <t>g_msgCore0to2_SC_facMaxMI</t>
  </si>
  <si>
    <t>Maximum modulation rate at SVPWM mode</t>
  </si>
  <si>
    <t>g_msgCore0to2_MaxTrq_Nm</t>
  </si>
  <si>
    <t>Todo</t>
  </si>
  <si>
    <t>g_msgCore0to2_MinTrq_Nm</t>
  </si>
  <si>
    <t>g_msgCore0to2_maxFwcCurRatio</t>
  </si>
  <si>
    <t>g_msgCore0to2_AngleCompVol</t>
  </si>
  <si>
    <t>g_msgCore0to2_IdPiMax</t>
  </si>
  <si>
    <t>g_msgCore0to2_AngleCompCur</t>
  </si>
  <si>
    <t>g_msgCore0to2_IdPiMin</t>
  </si>
  <si>
    <t>g_msgCore0to2_ratedVdc</t>
  </si>
  <si>
    <t>g_msgCore0to2_maxCur</t>
  </si>
  <si>
    <t>g_msgCore0to2_dbCompTime</t>
  </si>
  <si>
    <t>g_msgCore0to2_AfrKp</t>
  </si>
  <si>
    <t>g_msgCore0to2_AfrTi</t>
  </si>
  <si>
    <t>g_msgCore0to2_IdqFilter</t>
  </si>
  <si>
    <t>g_msgCore0to2_AcrKp</t>
  </si>
  <si>
    <t>g_msgCore0to2_AcrKi</t>
  </si>
  <si>
    <t>g_msgCore0to2_FwcFilter</t>
  </si>
  <si>
    <t>g_msgCore0to2_pwmFrqSet</t>
  </si>
  <si>
    <t>g_msgCore0to2_dbCompEn</t>
  </si>
  <si>
    <t>g_msgCore0to2_DecoupleEn</t>
  </si>
  <si>
    <t>g_msgCore0to2_Advance1En</t>
  </si>
  <si>
    <t>g_msgCore0to2_AsrFitlerTime</t>
  </si>
  <si>
    <t>g_msgCore0to2_FeedFwdEn</t>
  </si>
  <si>
    <t>g_msgCore0to2_CalibEn</t>
  </si>
  <si>
    <t>g_msgCore0to2_IdROL_C</t>
  </si>
  <si>
    <t>g_msgCore0to2_dirEnc</t>
  </si>
  <si>
    <t>g_msgCore0to2_PWMFrqSwitch_C</t>
  </si>
  <si>
    <t>g_msgCore0to2_AcrKc</t>
  </si>
  <si>
    <t>g_msgCore0to2_linearKpEn</t>
  </si>
  <si>
    <t>g_msgCore0to2_AcrKpStb</t>
  </si>
  <si>
    <t>g_msgCore0to2_AcrKiStb</t>
  </si>
  <si>
    <t>g_msgCore0to2_AcrSwtLoRpm</t>
  </si>
  <si>
    <t>g_msgCore0to2_AcrSwtHiRpm</t>
  </si>
  <si>
    <t>g_msgCore0to2_AsrFitlerBIGTime</t>
  </si>
  <si>
    <t>Speed_Given_hrh_P1</t>
  </si>
  <si>
    <t>Speed_error_max_P1</t>
  </si>
  <si>
    <t>g_msgCore0to2_AsrFitlerSuperBIGTime</t>
  </si>
  <si>
    <t>Speed_low_limit</t>
  </si>
  <si>
    <t>g_msgCore0to2_AcrD_LUTtimes</t>
  </si>
  <si>
    <t>g_msgCore0to2_SpdPoslimit_rpm</t>
  </si>
  <si>
    <t>ParameterM1B.h</t>
  </si>
  <si>
    <t>ParameterM1B.c</t>
  </si>
  <si>
    <t>g_msgCore0to2_SpdNeglimit_rpm</t>
  </si>
  <si>
    <t>g_msgCore0to2_maxCur2</t>
  </si>
  <si>
    <t>g_msgCore0to2_maxTrq</t>
  </si>
  <si>
    <t>g_msgCore0to2_SpeedPiMaxRatio</t>
  </si>
  <si>
    <t>g_msgCore0to2_SpeedPiMinRatio</t>
  </si>
  <si>
    <t>g_msgCore0to2_AsrKpHi</t>
  </si>
  <si>
    <t>g_msgCore0to2_AsrTiHi</t>
  </si>
  <si>
    <t>g_msgCore0to2_AsrKpLo</t>
  </si>
  <si>
    <t>g_msgCore0to2_AsrTiLo</t>
  </si>
  <si>
    <t>g_msgCore0to2_AsrSwtLoRpm</t>
  </si>
  <si>
    <t>g_msgCore0to2_AsrSwtHiRpm</t>
  </si>
  <si>
    <t>g_msgCore0to2_CalibEn2</t>
  </si>
  <si>
    <t>g_msgCore0to2_Spdratelimit_C</t>
  </si>
  <si>
    <t>g_msgCore0to2_hrhmode</t>
  </si>
  <si>
    <t>g_msgCore0to2_K1</t>
  </si>
  <si>
    <t>Parameter0.h</t>
  </si>
  <si>
    <t>Parameter0.c</t>
  </si>
  <si>
    <t>g_msgCore0to2_K2</t>
  </si>
  <si>
    <t>g_msgCore0to2_K3</t>
  </si>
  <si>
    <t>pwmFrqSet_P1</t>
  </si>
  <si>
    <t>g_msgCore0to2_fix</t>
  </si>
  <si>
    <t>g_msgCore0to2_K1switch</t>
  </si>
  <si>
    <t>g_msgCore0to2_K3witch</t>
  </si>
  <si>
    <t>Dimension</t>
  </si>
  <si>
    <t>Table</t>
  </si>
  <si>
    <t>min</t>
  </si>
  <si>
    <t>unit</t>
  </si>
  <si>
    <t>BreakPoint1</t>
  </si>
  <si>
    <t>BreakPoint2</t>
  </si>
  <si>
    <t>backup</t>
  </si>
  <si>
    <t>cripple_T_P1</t>
  </si>
  <si>
    <t>[0
0.001
0.1
0.2
0.2
0.4
0.6
0.8
0.9
0.9
0.9
0.9
0.9
0.9
0.9
]</t>
  </si>
  <si>
    <t>[400
490
500
1000
1500
2000
2500
3000
3500
4000
4500
5000
5500
5700
6000
]</t>
  </si>
  <si>
    <t>flux with Iq</t>
  </si>
  <si>
    <t>cphase_T_P1</t>
  </si>
  <si>
    <t>[-1.4
-1.4
-1.4
-1.4
-1.4
-1.4
-1.4
-1.4
-1.4
-1.4
-1.4
-1.4
-1.4
-1.4
-1.4
0
0
0
0
0
0
0
0
0
0
0
0
0
0
0
0
0
0
]</t>
  </si>
  <si>
    <t>[-7000
-6000
-5000
-4500
-4000
-3500
-3000
-2500
-2000
-1500
-1000
-750
-500
-490
-200
-1
0
400
490
500
1000
1500
2000
2500
2600
3000
3500
4000
4500
5000
5500
6000
7000
]</t>
  </si>
  <si>
    <t>Complexity</t>
  </si>
  <si>
    <t>Dimensions</t>
  </si>
  <si>
    <t>Mode</t>
  </si>
  <si>
    <t>SampleTime</t>
  </si>
  <si>
    <t>InitialValue</t>
  </si>
  <si>
    <t>Module</t>
  </si>
  <si>
    <t>SAQ_DUTY1</t>
  </si>
  <si>
    <t>Signal</t>
  </si>
  <si>
    <t>real</t>
  </si>
  <si>
    <t>auto</t>
  </si>
  <si>
    <t>%</t>
  </si>
  <si>
    <t>ExportedGlobal</t>
  </si>
  <si>
    <t>Phase u duty for monitoring</t>
  </si>
  <si>
    <t>SAQ_DUTY2</t>
  </si>
  <si>
    <t>Phase v duty for monitoring</t>
  </si>
  <si>
    <t>SAQ_DUTY3</t>
  </si>
  <si>
    <t>Phase w duty for monitoring</t>
  </si>
  <si>
    <t>COM_NSetP</t>
  </si>
  <si>
    <t>rpm</t>
  </si>
  <si>
    <t>Speed request from CAN</t>
  </si>
  <si>
    <t>COM_stModeReq</t>
  </si>
  <si>
    <t>Enum: ECM</t>
  </si>
  <si>
    <t>ECMClass</t>
  </si>
  <si>
    <t>ECM.Init</t>
  </si>
  <si>
    <t>request  mode</t>
  </si>
  <si>
    <t>COM_TrqSetP</t>
  </si>
  <si>
    <t>Torque request from CAN</t>
  </si>
  <si>
    <t>COM_trqSet</t>
  </si>
  <si>
    <t>Torque set from dashboard for simulation</t>
  </si>
  <si>
    <t>ISP_iPhaU</t>
  </si>
  <si>
    <t>U phase current, A</t>
  </si>
  <si>
    <t>ISP_iPhaV</t>
  </si>
  <si>
    <t>V phase current, A</t>
  </si>
  <si>
    <t>ISP_iPhaW</t>
  </si>
  <si>
    <t>W phase current, A</t>
  </si>
  <si>
    <t>ISP_iAlpha</t>
  </si>
  <si>
    <t>abc-alphaBeta current, A</t>
  </si>
  <si>
    <t>ISP_iBeta</t>
  </si>
  <si>
    <t>ISP_iOfs</t>
  </si>
  <si>
    <t>offset current, A</t>
  </si>
  <si>
    <t>ISP_iPhaSumFlt</t>
  </si>
  <si>
    <t>Summum of phase current, A</t>
  </si>
  <si>
    <t>ISP_iAlphaMon</t>
  </si>
  <si>
    <t>abc-alphaBeta current in level2 monitoring, A</t>
  </si>
  <si>
    <t>ISP_iBetaMon</t>
  </si>
  <si>
    <t>abc-alphaBeta current in level2 monitoring,, A</t>
  </si>
  <si>
    <t>ISP_iOfsMon</t>
  </si>
  <si>
    <t>offset current in level2 monitoring,, A</t>
  </si>
  <si>
    <t>ISP_iPhaSumFltMon</t>
  </si>
  <si>
    <t>Summum of phase current in level2 monitoring,, A</t>
  </si>
  <si>
    <t>ISP_Is</t>
  </si>
  <si>
    <t>Magnitude current, A</t>
  </si>
  <si>
    <t>ISP_IsFlt</t>
  </si>
  <si>
    <t>Magnitude current, A,10ms</t>
  </si>
  <si>
    <t>ISP_isd</t>
  </si>
  <si>
    <t>alphaBeta-dq current, A</t>
  </si>
  <si>
    <t>ISP_isq</t>
  </si>
  <si>
    <t>ISP_isdH6</t>
  </si>
  <si>
    <t>ISP_isqH6</t>
  </si>
  <si>
    <t>ISP_IsMon</t>
  </si>
  <si>
    <t>Magnitude current in level2 monitoring,, A</t>
  </si>
  <si>
    <t>ISP_isdMon</t>
  </si>
  <si>
    <t>alphaBeta-dq current in level2 monitoring,, A</t>
  </si>
  <si>
    <t>ISP_isqMon</t>
  </si>
  <si>
    <t>ISP_iDaFild</t>
  </si>
  <si>
    <t>d-axis filtered current,A</t>
  </si>
  <si>
    <t>ISP_iQaFild</t>
  </si>
  <si>
    <t>q-axis filtered current,A</t>
  </si>
  <si>
    <t>ISP_iDcFlt</t>
  </si>
  <si>
    <t>Calculated Dc link current</t>
  </si>
  <si>
    <t>ISP_agRtrElecAtan2</t>
  </si>
  <si>
    <t>Electric angle of rotor calculated by atan2</t>
  </si>
  <si>
    <t>ISP_agRtrElecObvr</t>
  </si>
  <si>
    <t>Electric angle of rotor by observer</t>
  </si>
  <si>
    <t>ISP_agRtrPoleTrans</t>
  </si>
  <si>
    <t>Resolver electric angle transit to motor electric angle</t>
  </si>
  <si>
    <t>ISP_agRtrElec</t>
  </si>
  <si>
    <t>Electric angle of rotor</t>
  </si>
  <si>
    <t>ISP_agRtrElecCpsd</t>
  </si>
  <si>
    <t>Electric angle of rotor angle error compensated</t>
  </si>
  <si>
    <t>ISP_agAlOfsCal</t>
  </si>
  <si>
    <t>Calibrated output offset rotor angle</t>
  </si>
  <si>
    <t>ISP_agRoughCal</t>
  </si>
  <si>
    <t>Rough Calibrated output offset rotor angle</t>
  </si>
  <si>
    <t>ISP_agRtrElecOld</t>
  </si>
  <si>
    <t>Last Electric angle of rotor</t>
  </si>
  <si>
    <t>ISP_agPosnDes</t>
  </si>
  <si>
    <t>Angle desatnation for position control</t>
  </si>
  <si>
    <t>ISP_agPosnStgt</t>
  </si>
  <si>
    <t>Posntion straightening</t>
  </si>
  <si>
    <t>ISP_n</t>
  </si>
  <si>
    <t>mechanical speed</t>
  </si>
  <si>
    <t>ISP_sincosRatio</t>
  </si>
  <si>
    <t>Compensation sin/cos ration</t>
  </si>
  <si>
    <t>ISP_sinOfsOut</t>
  </si>
  <si>
    <t>Sin offset compensation</t>
  </si>
  <si>
    <t>ISP_cosOfsOut</t>
  </si>
  <si>
    <t>Cos offset compensation</t>
  </si>
  <si>
    <t>ISP_stAlOfsCal</t>
  </si>
  <si>
    <t>Position offset calitation state</t>
  </si>
  <si>
    <t>ISP_uDc</t>
  </si>
  <si>
    <t>V</t>
  </si>
  <si>
    <t>DC link voltage after range check</t>
  </si>
  <si>
    <t>ISP_uDcFlt</t>
  </si>
  <si>
    <t>Filtered DC link voltage</t>
  </si>
  <si>
    <t>ISP_uDcFltMon</t>
  </si>
  <si>
    <t>Filtered DC link voltage in Level2 monitoring</t>
  </si>
  <si>
    <t>ISP_frqElecCaln</t>
  </si>
  <si>
    <t>Hz</t>
  </si>
  <si>
    <t>Electric frequency of rotor by atan2 calculate</t>
  </si>
  <si>
    <t>ISP_frqElecObvr</t>
  </si>
  <si>
    <t>Electric frequency of rotor by observer</t>
  </si>
  <si>
    <t>ISP_frqElec</t>
  </si>
  <si>
    <t>Electric frequency of rotor</t>
  </si>
  <si>
    <t>ISP_frqElecOld</t>
  </si>
  <si>
    <t>Last Electric frequency of rotor</t>
  </si>
  <si>
    <t>ISP_wElec</t>
  </si>
  <si>
    <t>rad/s</t>
  </si>
  <si>
    <t>ISP_flgIphaOverCurr</t>
  </si>
  <si>
    <t xml:space="preserve">Over phase current flag </t>
  </si>
  <si>
    <t>ISP_flgResolver</t>
  </si>
  <si>
    <t>Reslover OK flag</t>
  </si>
  <si>
    <t>TCC_trqSet</t>
  </si>
  <si>
    <t>Torque set from TDC</t>
  </si>
  <si>
    <t>PMC_Rs</t>
  </si>
  <si>
    <t>Phase resistance</t>
  </si>
  <si>
    <t>PMC_PsiExc</t>
  </si>
  <si>
    <t>wb</t>
  </si>
  <si>
    <t>flux</t>
  </si>
  <si>
    <t>PMC_PsiMax</t>
  </si>
  <si>
    <t>Calculated maximum flux for flux weakening control</t>
  </si>
  <si>
    <t>PMC_Ld</t>
  </si>
  <si>
    <t>d-axis inductance</t>
  </si>
  <si>
    <t>PMC_Lq</t>
  </si>
  <si>
    <t>q-axis inductance</t>
  </si>
  <si>
    <t>PMC_LqSubLd</t>
  </si>
  <si>
    <t>q-axis sub d-axis inductance</t>
  </si>
  <si>
    <t>PMC_RsMon</t>
  </si>
  <si>
    <t>Phase resistance in level2 monitoring</t>
  </si>
  <si>
    <t>PMC_PsiExcMon</t>
  </si>
  <si>
    <t>flux in level2 monitoring</t>
  </si>
  <si>
    <t>PMC_LdMon</t>
  </si>
  <si>
    <t>d-axis inductance in level2 monitoring</t>
  </si>
  <si>
    <t>PMC_LqMon</t>
  </si>
  <si>
    <t>q-axis inductance in level2 monitoring</t>
  </si>
  <si>
    <t>PMC_LqSubLdMon</t>
  </si>
  <si>
    <t>q-axis sub d-axis inductance in level2 monitoring</t>
  </si>
  <si>
    <t>PMC_IsdDes</t>
  </si>
  <si>
    <t>d-axis target current</t>
  </si>
  <si>
    <t>PMC_IsqDes</t>
  </si>
  <si>
    <t>q-axis target current</t>
  </si>
  <si>
    <t>PMC_IsMax</t>
  </si>
  <si>
    <t>Caculated maximum phase current at current frequency</t>
  </si>
  <si>
    <t>PMC_TrqMax</t>
  </si>
  <si>
    <t>Maximum torque limit</t>
  </si>
  <si>
    <t>PMC_TrqOutEst</t>
  </si>
  <si>
    <t>Estimated output torque</t>
  </si>
  <si>
    <t>PMC_RvD</t>
  </si>
  <si>
    <t>RvSal D</t>
  </si>
  <si>
    <t>PMC_RvQ</t>
  </si>
  <si>
    <t>RvSal Q</t>
  </si>
  <si>
    <t>PMC_kid</t>
  </si>
  <si>
    <t>Ki d</t>
  </si>
  <si>
    <t>PMC_kiq</t>
  </si>
  <si>
    <t>Ki q</t>
  </si>
  <si>
    <t>PMC_kpd</t>
  </si>
  <si>
    <t>Kd d</t>
  </si>
  <si>
    <t>PMC_kpq</t>
  </si>
  <si>
    <t>Kd q</t>
  </si>
  <si>
    <t>PMC_UsMax</t>
  </si>
  <si>
    <t>SVPWM maximum phase voltage</t>
  </si>
  <si>
    <t>PMC_UsqPI</t>
  </si>
  <si>
    <t>q axis output voltage</t>
  </si>
  <si>
    <t>PMC_UsdPI</t>
  </si>
  <si>
    <t>d axis output voltage</t>
  </si>
  <si>
    <t>PMC_UsResScal</t>
  </si>
  <si>
    <t>Left voltage for flux weakening control</t>
  </si>
  <si>
    <t>PMC_UsdFlt</t>
  </si>
  <si>
    <t>d axis output Nrm voltage</t>
  </si>
  <si>
    <t>PMC_UsqFlt</t>
  </si>
  <si>
    <t>q axis output Nrm voltage</t>
  </si>
  <si>
    <t>PMC_IsFlt</t>
  </si>
  <si>
    <t>PMC_isdFlt</t>
  </si>
  <si>
    <t>PMC_isqFlt</t>
  </si>
  <si>
    <t>PMC_UsdScal</t>
  </si>
  <si>
    <t>PMC_UsqScal</t>
  </si>
  <si>
    <t>PMC_bFwl2AscRedy</t>
  </si>
  <si>
    <t>Freewheeling to ASC flag</t>
  </si>
  <si>
    <t>PMC_flgReqSafeSt</t>
  </si>
  <si>
    <t>Fixed</t>
  </si>
  <si>
    <t>Safe state flag</t>
  </si>
  <si>
    <t>PMC_tiPerd</t>
  </si>
  <si>
    <t>us</t>
  </si>
  <si>
    <t>Period time output from MCT considering variable freuqency and random frequency</t>
  </si>
  <si>
    <t>PMC_TrqMon</t>
  </si>
  <si>
    <t>Lv2 calculated output torque</t>
  </si>
  <si>
    <t>SVM_UsAScal</t>
  </si>
  <si>
    <t>alpha output voltage</t>
  </si>
  <si>
    <t>SVM_UsBScal</t>
  </si>
  <si>
    <t>beta output voltage</t>
  </si>
  <si>
    <t>SVM_UsSqr</t>
  </si>
  <si>
    <t>Magnitue output voltage</t>
  </si>
  <si>
    <t>SVM_tiGate</t>
  </si>
  <si>
    <t>Gate time output</t>
  </si>
  <si>
    <t>SVM_tiPerd</t>
  </si>
  <si>
    <t>Period time output</t>
  </si>
  <si>
    <t>SVM_agTrafoOut</t>
  </si>
  <si>
    <t>OSC electric angle of rotor</t>
  </si>
  <si>
    <t>TLC_TrqEmMax</t>
  </si>
  <si>
    <t>Em maximum torque</t>
  </si>
  <si>
    <t>TLC_TrqEmMin</t>
  </si>
  <si>
    <t>Em minimum torque</t>
  </si>
  <si>
    <t>TLC_TrqEmMot</t>
  </si>
  <si>
    <t>Em maximum torque, motor mode</t>
  </si>
  <si>
    <t>TLC_TrqEmGen</t>
  </si>
  <si>
    <t>Em minimum torque, generator mode</t>
  </si>
  <si>
    <t>ISP_cTrqSlpMax</t>
  </si>
  <si>
    <t>Maximum torque change</t>
  </si>
  <si>
    <t>ISP_trqEmDes</t>
  </si>
  <si>
    <t xml:space="preserve">Target Emachine  torque </t>
  </si>
  <si>
    <t>ISP_nDes</t>
  </si>
  <si>
    <t>desired speed</t>
  </si>
  <si>
    <t>ISP_uDcDes</t>
  </si>
  <si>
    <t>desired DC link voltage</t>
  </si>
  <si>
    <t>ISP_frqDes</t>
  </si>
  <si>
    <t>desired Electric frequency in isctrl mode</t>
  </si>
  <si>
    <t>ISP_isDes</t>
  </si>
  <si>
    <t>desired is in isctrl mode</t>
  </si>
  <si>
    <t>ISP_cTrqSlpCycle</t>
  </si>
  <si>
    <t>Maximum torque variantion in a 2ms cycle</t>
  </si>
  <si>
    <t>TCC_trqEmDesWoDmp</t>
  </si>
  <si>
    <t>Desired em torque without damping control compensation</t>
  </si>
  <si>
    <t>TCC_trqActvDmp</t>
  </si>
  <si>
    <t>Acitve damping control torque output</t>
  </si>
  <si>
    <t>TCC_trqEmDesWiDmp</t>
  </si>
  <si>
    <t>Desired em torque with damping control compensation</t>
  </si>
  <si>
    <t>TCC_flgAlOfsCal</t>
  </si>
  <si>
    <t>Flag in position calibration</t>
  </si>
  <si>
    <t>TCC_stRoughCalSet</t>
  </si>
  <si>
    <t>0 position rough calibration</t>
  </si>
  <si>
    <t>ISP_bIphCalDone</t>
  </si>
  <si>
    <t>phase current sensor calibration finished</t>
  </si>
  <si>
    <t>ISP_bSwtTStr</t>
  </si>
  <si>
    <t>Stator Temperature Measure range switch</t>
  </si>
  <si>
    <t>ISP_bSwtTStr2</t>
  </si>
  <si>
    <t>Stator Temperature Measure range switch2</t>
  </si>
  <si>
    <t>ISP_tStr</t>
  </si>
  <si>
    <t>degC</t>
  </si>
  <si>
    <t xml:space="preserve">Em stator temperature </t>
  </si>
  <si>
    <t>ISP_tStr2</t>
  </si>
  <si>
    <t>Em stator temperature  2</t>
  </si>
  <si>
    <t>ISP_tDbcInvU</t>
  </si>
  <si>
    <t>IGBT phase U temperature</t>
  </si>
  <si>
    <t>ISP_tDbcInvV</t>
  </si>
  <si>
    <t>IGBT phase V temperature</t>
  </si>
  <si>
    <t>ISP_tDbcInvW</t>
  </si>
  <si>
    <t>IGBT phase W  temperature</t>
  </si>
  <si>
    <t>ISP_bReadyHV</t>
  </si>
  <si>
    <t>C</t>
  </si>
  <si>
    <t xml:space="preserve">battery voltage ready </t>
  </si>
  <si>
    <t>ISP_trqEmMax</t>
  </si>
  <si>
    <t>Calculated maiximun em torque</t>
  </si>
  <si>
    <t>ISP_trqEmMin</t>
  </si>
  <si>
    <t>Calculated minimum em torque</t>
  </si>
  <si>
    <t>rawCddIn1</t>
  </si>
  <si>
    <t>--</t>
  </si>
  <si>
    <t>ImportedExtern</t>
  </si>
  <si>
    <t xml:space="preserve">cdd input structure from the low level </t>
  </si>
  <si>
    <t>rawCddIn2</t>
  </si>
  <si>
    <t>Auto</t>
  </si>
  <si>
    <t>rawCddOut</t>
  </si>
  <si>
    <t xml:space="preserve">cdd output structure from the low level </t>
  </si>
  <si>
    <t>rawCddHwMgr</t>
  </si>
  <si>
    <t>ComCanTxd</t>
  </si>
  <si>
    <t>communication can transmit structure</t>
  </si>
  <si>
    <t>ComCanRxd</t>
  </si>
  <si>
    <t>communication can receive structure</t>
  </si>
  <si>
    <t>ComCanRxdMon</t>
  </si>
  <si>
    <t>communication can receive structure for Level 2</t>
  </si>
  <si>
    <t>msgCore2to0_10ms_Out</t>
  </si>
  <si>
    <t>Core2 out: message from core2 to core 0 in 10ms process</t>
  </si>
  <si>
    <t>msgCore2to0_10ms_In</t>
  </si>
  <si>
    <t>Core0 in message from core2 to core 0 in 10ms process</t>
  </si>
  <si>
    <t>msgCore0to2_10ms_Out</t>
  </si>
  <si>
    <t>Core0 out: message from core0 to core 2 in 10ms process</t>
  </si>
  <si>
    <t>msgCore0to2_1ms_Out</t>
  </si>
  <si>
    <t>Core0 out: message from core0 to core 2 in 1ms process</t>
  </si>
  <si>
    <t>msgCore0to2_10ms_In</t>
  </si>
  <si>
    <t>Core0 In: message from core0 to core 2 in 10ms process</t>
  </si>
  <si>
    <t>msgCore0to2_1ms_In</t>
  </si>
  <si>
    <t>Core0 In: message from core0 to core 2 in 1ms process</t>
  </si>
  <si>
    <t>Bsw2Asw_10ms_In</t>
  </si>
  <si>
    <t>singals from BSW</t>
  </si>
  <si>
    <t>AngleOut</t>
  </si>
  <si>
    <t>Angle</t>
  </si>
  <si>
    <t>FOC</t>
  </si>
  <si>
    <t>FOC_Kp</t>
  </si>
  <si>
    <t>speedkp</t>
  </si>
  <si>
    <t>FOC_Ki</t>
  </si>
  <si>
    <t>speedki</t>
  </si>
  <si>
    <t>FOC_CurKp</t>
  </si>
  <si>
    <t>curkp</t>
  </si>
  <si>
    <t>FOC_CurKi</t>
  </si>
  <si>
    <t>curki</t>
  </si>
  <si>
    <t>speedref</t>
  </si>
  <si>
    <t>cmprU</t>
  </si>
  <si>
    <t>cmprV</t>
  </si>
  <si>
    <t>cmprW</t>
  </si>
  <si>
    <t>PMC_SpeedFltCoef</t>
  </si>
  <si>
    <t>TODO</t>
  </si>
  <si>
    <t>PMC_SPEED_FLT</t>
  </si>
  <si>
    <t>PMC_speedref_rpm</t>
  </si>
  <si>
    <t>PMC_SpeedFltCoefRealTimes</t>
  </si>
  <si>
    <t>PMC_STEP1</t>
  </si>
  <si>
    <t>PMC_STEP2</t>
  </si>
  <si>
    <t>PMC_STEP3</t>
  </si>
  <si>
    <t>PMC_STEP4</t>
  </si>
  <si>
    <t>PMC_STEP5</t>
  </si>
  <si>
    <t>PMC_STEP6</t>
  </si>
  <si>
    <t>PMC_SpeedFltCoef_set</t>
  </si>
  <si>
    <t>sin_wave_P1</t>
  </si>
  <si>
    <t>Trqcomp_P1</t>
  </si>
  <si>
    <t>angle_watch_p1</t>
  </si>
  <si>
    <t>angle_watch_1_p1</t>
  </si>
  <si>
    <t>usageP1</t>
  </si>
  <si>
    <t>usageP2</t>
  </si>
  <si>
    <t>Trqcomp_Max_P1</t>
  </si>
  <si>
    <t>Trqcomp_Min_P1</t>
  </si>
  <si>
    <t>Trqcomp_Amp_value_P1</t>
  </si>
  <si>
    <t>Trqcomp_Amp_Limitvalue_P1</t>
  </si>
  <si>
    <t>Trqcomp_Phase_value_P1</t>
  </si>
  <si>
    <t>Trqcomp_Phase_value_set1_P1</t>
  </si>
  <si>
    <t>BusElementName</t>
  </si>
  <si>
    <t>SimulinkBusName</t>
  </si>
  <si>
    <t>DimensionsMode</t>
  </si>
  <si>
    <t>DocUnits</t>
  </si>
  <si>
    <t>Bsw_stSBC</t>
  </si>
  <si>
    <t>Bsw2Asw10msST</t>
  </si>
  <si>
    <t>SSM_stDrvMode</t>
  </si>
  <si>
    <t>Sig10ms02ST</t>
  </si>
  <si>
    <t>SSM_flgReqSafeSt</t>
  </si>
  <si>
    <t>SSM_bPwrUpHiDrv</t>
  </si>
  <si>
    <t>SSM_bPwrUpLoDrv</t>
  </si>
  <si>
    <t>SSM_bVdd16Ok</t>
  </si>
  <si>
    <t>ISP_trqFrc</t>
  </si>
  <si>
    <t>ISP_phaCurrentU</t>
  </si>
  <si>
    <t>Sig10ms20ST</t>
  </si>
  <si>
    <t>ISP_phaCurrentV</t>
  </si>
  <si>
    <t>ISP_phaCurrentW</t>
  </si>
  <si>
    <t>TCC_trqSet_1ms</t>
  </si>
  <si>
    <t>Sig1ms02ST</t>
  </si>
  <si>
    <t>SSM_bRelsLoDfw</t>
  </si>
  <si>
    <t>SSM_bRelsHiDfw</t>
  </si>
  <si>
    <t>Core0_ISP_IGBTTemp1</t>
  </si>
  <si>
    <t>Core0_tInv</t>
  </si>
  <si>
    <t>Core0_ISP_IGBTTemp2</t>
  </si>
  <si>
    <t>Core0_ISP_tInvx</t>
  </si>
  <si>
    <t>Bus:Core0_tInv</t>
  </si>
  <si>
    <t>Core0_ISP_PCBTemp</t>
  </si>
  <si>
    <t>Core0_ISP_AnaOut</t>
  </si>
  <si>
    <t>Bus:Core0_ISP_tInvx</t>
  </si>
  <si>
    <t>Core0_ISP_uKl15Flt</t>
  </si>
  <si>
    <t>Core0_ISP_uKl30Flt</t>
  </si>
  <si>
    <t>Core0_ISP_P15VDFlt</t>
  </si>
  <si>
    <t>Core0_ISP_bKI15Cnfm</t>
  </si>
  <si>
    <t>Core0_ISP_DinCnfm</t>
  </si>
  <si>
    <t>prwDC</t>
  </si>
  <si>
    <t>Core0_ISP_Dcx</t>
  </si>
  <si>
    <t>Core0_ISP_uDC</t>
  </si>
  <si>
    <t>iDcMax</t>
  </si>
  <si>
    <t>iDcMin</t>
  </si>
  <si>
    <t>uDcMax</t>
  </si>
  <si>
    <t>uDcMin</t>
  </si>
  <si>
    <t>Core0_ISP_trqEmDes</t>
  </si>
  <si>
    <t>Core0_ISP_trqx</t>
  </si>
  <si>
    <t>Core0_ISP_trqDmpLimDyn</t>
  </si>
  <si>
    <t>Core0_ISP_trqDmpMax</t>
  </si>
  <si>
    <t>Core0_ISP_trqEmMax</t>
  </si>
  <si>
    <t>Core0_ISP_trqEmMin</t>
  </si>
  <si>
    <t>Core0_ISP_trqDmpLimSta</t>
  </si>
  <si>
    <t>Core0_ISP_trqFrc</t>
  </si>
  <si>
    <t>Core0_ISP_nDes</t>
  </si>
  <si>
    <t>Core0_ISP_cmdx</t>
  </si>
  <si>
    <t>Core0_ISP_uDcDes</t>
  </si>
  <si>
    <t>Core0_ISP_frqDes</t>
  </si>
  <si>
    <t>Core0_ISP_isDes</t>
  </si>
  <si>
    <t>Core0_ISP_cTrqSlpMax</t>
  </si>
  <si>
    <t>Core0_ISP_kp</t>
  </si>
  <si>
    <t>Core0_ISP_ctrlParax</t>
  </si>
  <si>
    <t>Core0_ISP_ki</t>
  </si>
  <si>
    <t>Core0_ISP_kpDmpSta</t>
  </si>
  <si>
    <t>Core0_ISP_kpDmpDyn</t>
  </si>
  <si>
    <t>Core0_ISP_tauOscDrvTrn</t>
  </si>
  <si>
    <t>Core0_ISP_trqPAnCtrlMax</t>
  </si>
  <si>
    <t>Core0_ISP_trqPAnCtrlMin</t>
  </si>
  <si>
    <t>Core0_ISP_stModeReq</t>
  </si>
  <si>
    <t>Core0_ISP_ComCmd</t>
  </si>
  <si>
    <t>Bus:Core0_ISP_trqx</t>
  </si>
  <si>
    <t>Bus:Core0_ISP_cmdx</t>
  </si>
  <si>
    <t>Bus:Core0_ISP_ctrlParax</t>
  </si>
  <si>
    <t>Com_Msg06</t>
  </si>
  <si>
    <t>Bus:Com_MSG06</t>
  </si>
  <si>
    <t>Core0_ISP_Out</t>
  </si>
  <si>
    <t>Bus:Core0_ISP_AnaOut</t>
  </si>
  <si>
    <t>Bus:Core0_ISP_ComCmd</t>
  </si>
  <si>
    <t>SAQ_KL15</t>
  </si>
  <si>
    <t>Core0_gpiRt</t>
  </si>
  <si>
    <t>SAQ_RDYH</t>
  </si>
  <si>
    <t>SAQ_RDYL</t>
  </si>
  <si>
    <t>SAQ_STL2ASCEN</t>
  </si>
  <si>
    <t>SAQ_WAKE</t>
  </si>
  <si>
    <t>SAQ_UBR1</t>
  </si>
  <si>
    <t>Core0_vadcRt</t>
  </si>
  <si>
    <t>SAQ_UBR2</t>
  </si>
  <si>
    <t>SAQ_VDD5G1</t>
  </si>
  <si>
    <t>SAQ_VDD5COM</t>
  </si>
  <si>
    <t>SAQ_ADCTEST</t>
  </si>
  <si>
    <t>SAQ_HWVER</t>
  </si>
  <si>
    <t>SAQ_SINH</t>
  </si>
  <si>
    <t>SAQ_SINL</t>
  </si>
  <si>
    <t>SAQ_COSH</t>
  </si>
  <si>
    <t>SAQ_COSL</t>
  </si>
  <si>
    <t>SAQ_HVUN</t>
  </si>
  <si>
    <t>SAQ_HVUP</t>
  </si>
  <si>
    <t>SAQ_IUA</t>
  </si>
  <si>
    <t>SAQ_IUB</t>
  </si>
  <si>
    <t>SAQ_IVA</t>
  </si>
  <si>
    <t>SAQ_IVB</t>
  </si>
  <si>
    <t>SAQ_IWA</t>
  </si>
  <si>
    <t>SAQ_IWB</t>
  </si>
  <si>
    <t>SAQ_MTEM1</t>
  </si>
  <si>
    <t>SAQ_MTEM2</t>
  </si>
  <si>
    <t>SAQ_VDD15</t>
  </si>
  <si>
    <t>SAQ_VDD5</t>
  </si>
  <si>
    <t>SAQ_flgFltAHiDrv</t>
  </si>
  <si>
    <t>Core0_cddRt</t>
  </si>
  <si>
    <t>SAQ_flgFltBHiDrv</t>
  </si>
  <si>
    <t>SAQ_flgFltALoDrv</t>
  </si>
  <si>
    <t>SAQ_flgFltBLoDrv</t>
  </si>
  <si>
    <t>SAQ_flgFltOC</t>
  </si>
  <si>
    <t>SAQ_flgFltOV</t>
  </si>
  <si>
    <t>SAQ_stLvMoCSOP</t>
  </si>
  <si>
    <t>SAQ_stHvMoCSOP</t>
  </si>
  <si>
    <t>SAQ_stIgbtDrvCnfgOK</t>
  </si>
  <si>
    <t>SAQ_TDBC1</t>
  </si>
  <si>
    <t>SAQ_TDBC2</t>
  </si>
  <si>
    <t>SAQ_TDBC3</t>
  </si>
  <si>
    <t>Core0_SAQ_Out</t>
  </si>
  <si>
    <t>Bus:Core0_gpiRt</t>
  </si>
  <si>
    <t>Bus:Core0_vadcRt</t>
  </si>
  <si>
    <t>Bus:Core0_cddRt</t>
  </si>
  <si>
    <t>SSM_bPwrUpLoDrv_I</t>
  </si>
  <si>
    <t>Core0_SSM_Out</t>
  </si>
  <si>
    <t>SSM_bPwrUpHiDrv_I</t>
  </si>
  <si>
    <t>SSM_bRelsLoDfw_I</t>
  </si>
  <si>
    <t>SSM_bRelsHiDfw_I</t>
  </si>
  <si>
    <t>SSM_Vdd16Ok</t>
  </si>
  <si>
    <t>SSM_stDrvMode_I</t>
  </si>
  <si>
    <t>SSM_flgReqSafeSt_I</t>
  </si>
  <si>
    <t>bPreChrgDone</t>
  </si>
  <si>
    <t>SSM_flgMROn</t>
  </si>
  <si>
    <t>Core0_SSM_OSC</t>
  </si>
  <si>
    <t>SSM_bCtlSmps</t>
  </si>
  <si>
    <t>SSM_bLoEnFen</t>
  </si>
  <si>
    <t>SSM_bHiEnFen</t>
  </si>
  <si>
    <t>SSM_bActDisChrgEn</t>
  </si>
  <si>
    <t>SSM_bNESO</t>
  </si>
  <si>
    <t>Core0_TLC_Out</t>
  </si>
  <si>
    <t>TLC_TrqEmQstyMot</t>
  </si>
  <si>
    <t>TLC_TrqEmQstyGen</t>
  </si>
  <si>
    <t>TLC_TrqEmQstyMax</t>
  </si>
  <si>
    <t>TLC_TrqEmQstyMin</t>
  </si>
  <si>
    <t>TLC_TrqMechMax</t>
  </si>
  <si>
    <t>TLC_TrqMechMin</t>
  </si>
  <si>
    <t>TLC_pwrEmMax</t>
  </si>
  <si>
    <t>TLC_pwrEmMin</t>
  </si>
  <si>
    <t>TLC_pwrEmMot</t>
  </si>
  <si>
    <t>TLC_pwrEmGen</t>
  </si>
  <si>
    <t>TLC_TrqMechMaxExt</t>
  </si>
  <si>
    <t>TLC_TrqMechMinExt</t>
  </si>
  <si>
    <t>TCC_trqSet_I</t>
  </si>
  <si>
    <t>Core0_TCC_Out</t>
  </si>
  <si>
    <t>TCC_flgAlOfsCal_I</t>
  </si>
  <si>
    <t>TCC_stRoughCalSet_I</t>
  </si>
  <si>
    <t>COM_IdcMax</t>
  </si>
  <si>
    <t>Com_MSG01</t>
  </si>
  <si>
    <t>COM_IdcMin</t>
  </si>
  <si>
    <t>COM_UdcMax</t>
  </si>
  <si>
    <t>COM_UdcMin</t>
  </si>
  <si>
    <t>COM_stHvbMaiRly</t>
  </si>
  <si>
    <t>COM_KpHigh</t>
  </si>
  <si>
    <t>Com_MSG02</t>
  </si>
  <si>
    <t>COM_KpLow</t>
  </si>
  <si>
    <t>COM_NDeltaBound</t>
  </si>
  <si>
    <t>COM_TrqPAmax</t>
  </si>
  <si>
    <t>COM_TrqPAmin</t>
  </si>
  <si>
    <t>COM_TrqMax</t>
  </si>
  <si>
    <t>Com_MSG03</t>
  </si>
  <si>
    <t>COM_TrqMin</t>
  </si>
  <si>
    <t>COM_cTrqSlopeMax</t>
  </si>
  <si>
    <t>Com_MSG04</t>
  </si>
  <si>
    <t>COM_UdcSetP</t>
  </si>
  <si>
    <t>COM_FrqStrSetP</t>
  </si>
  <si>
    <t>Com_MSG05</t>
  </si>
  <si>
    <t>COM_IsSetP</t>
  </si>
  <si>
    <t>COM_OfsAl</t>
  </si>
  <si>
    <t>COM_PumpCtl</t>
  </si>
  <si>
    <t>COM_bSetOfsAl</t>
  </si>
  <si>
    <t>COM_bUseFrqStrSynt</t>
  </si>
  <si>
    <t>COM_flgInvrCanActvnCmd</t>
  </si>
  <si>
    <t>COM_TrqDmpLim</t>
  </si>
  <si>
    <t>Com_MSG06</t>
  </si>
  <si>
    <t>COM_TrqDmpMax</t>
  </si>
  <si>
    <t>COM_kDmp</t>
  </si>
  <si>
    <t>COM_stDstCReq</t>
  </si>
  <si>
    <t>COM_ctrlMode</t>
  </si>
  <si>
    <t>Com_MSG08</t>
  </si>
  <si>
    <t>COM_iDCmd</t>
  </si>
  <si>
    <t>COM_iQCmd</t>
  </si>
  <si>
    <t>COM_uAlphaCmd</t>
  </si>
  <si>
    <t>COM_uBetaCmd</t>
  </si>
  <si>
    <t>COM_uDCmd</t>
  </si>
  <si>
    <t>COM_uQCmd</t>
  </si>
  <si>
    <t>Core0_COM_Out</t>
  </si>
  <si>
    <t>Bus:Com_MSG01</t>
  </si>
  <si>
    <t>Bus:Com_MSG02</t>
  </si>
  <si>
    <t>Bus:Com_MSG03</t>
  </si>
  <si>
    <t>Bus:Com_MSG04</t>
  </si>
  <si>
    <t>Bus:Com_MSG05</t>
  </si>
  <si>
    <t>Bus:Com_MSG08</t>
  </si>
  <si>
    <t>Core2_ISP_Is</t>
  </si>
  <si>
    <t>Core2_ISP_Isx</t>
  </si>
  <si>
    <t>Core2_ISP_isd</t>
  </si>
  <si>
    <t>Core2_ISP_isq</t>
  </si>
  <si>
    <t>Core2_ISP_sin</t>
  </si>
  <si>
    <t>Core2_ISP_isdH6</t>
  </si>
  <si>
    <t>Core2_ISP_isqH6</t>
  </si>
  <si>
    <t>Core2_ISP_AngleOut</t>
  </si>
  <si>
    <t>Core2_ISP_stAlOfsCal</t>
  </si>
  <si>
    <t>Core2_ISP_nx</t>
  </si>
  <si>
    <t>Core2_ISP_agOffsCal</t>
  </si>
  <si>
    <t>Core2_ISP_agRtrElec</t>
  </si>
  <si>
    <t>Core2_ISP_frqElec</t>
  </si>
  <si>
    <t>Core2_ISP_wElec</t>
  </si>
  <si>
    <t>Core2_ISP_n</t>
  </si>
  <si>
    <t>Core2_ISP_nAbs</t>
  </si>
  <si>
    <t>Core2_ISP_flgResolver</t>
  </si>
  <si>
    <t>Core2_ISP_agRtr</t>
  </si>
  <si>
    <t>Core2_ISC_agRtrElecObvr</t>
  </si>
  <si>
    <t>Core2_ISC_frqElecObvr</t>
  </si>
  <si>
    <t>Core2_ISC_agRtrElecAtan2</t>
  </si>
  <si>
    <t>Core2_ISC_frqElecCaln</t>
  </si>
  <si>
    <t>Core2_ISP_iPhaU</t>
  </si>
  <si>
    <t>Core2_ISP_iPhabc</t>
  </si>
  <si>
    <t>Core2_ISP_iPhaV</t>
  </si>
  <si>
    <t>Core2_ISP_iPhaW</t>
  </si>
  <si>
    <t>Core2_ISP_AnaOut</t>
  </si>
  <si>
    <t>Bus:Core2_ISP_agRtr</t>
  </si>
  <si>
    <t>Bus:Core2_ISP_iPhabc</t>
  </si>
  <si>
    <t>Core2_ISP_bIphCalDone</t>
  </si>
  <si>
    <t>Core2_ISP_uDc</t>
  </si>
  <si>
    <t>Core2_ISP_Out</t>
  </si>
  <si>
    <t>Bus:Core2_ISP_Isx</t>
  </si>
  <si>
    <t>Bus:Core2_ISP_nx</t>
  </si>
  <si>
    <t>Bus:Core2_ISP_AnaOut</t>
  </si>
  <si>
    <t>Core2_SAQ_iPhaU</t>
  </si>
  <si>
    <t>Core2_SAQ_Out</t>
  </si>
  <si>
    <t>Core2_SAQ_iPhaV</t>
  </si>
  <si>
    <t>Core2_SAQ_iPhaW</t>
  </si>
  <si>
    <t>Core2_SAQ_rslvSinAmp</t>
  </si>
  <si>
    <t>Core2_SAQ_rslvCosAmp</t>
  </si>
  <si>
    <t>Core2_SAQ_HVU</t>
  </si>
  <si>
    <t>Core2_PMC_UsdScal</t>
  </si>
  <si>
    <t>Core2_PMC_Out</t>
  </si>
  <si>
    <t>Core2_PMC_tiPerd</t>
  </si>
  <si>
    <t>Core2_PMC_Rs</t>
  </si>
  <si>
    <t>Core2_PMC_TrqOutEst</t>
  </si>
  <si>
    <t>Core2_excMaxOut</t>
  </si>
  <si>
    <t>Core2_ISP_RslvrxFlt</t>
  </si>
  <si>
    <t>Core2_excMinOut</t>
  </si>
  <si>
    <t>Core2_excFlt</t>
  </si>
  <si>
    <t>Core2_ofsFlt</t>
  </si>
  <si>
    <t>Core2_dAngleFlt</t>
  </si>
  <si>
    <t>Core2_sinAmpOut</t>
  </si>
  <si>
    <t>Core2_sinOfsOut</t>
  </si>
  <si>
    <t>Core2_cosAmpOut</t>
  </si>
  <si>
    <t>Core2_cosOfsOut</t>
  </si>
  <si>
    <t>f32_DutyUon</t>
  </si>
  <si>
    <t>Duty</t>
  </si>
  <si>
    <t>f32_DutyVon</t>
  </si>
  <si>
    <t>f32_DutyWon</t>
  </si>
  <si>
    <t>Core2_iPhaU</t>
  </si>
  <si>
    <t>Core2_CDDIN2</t>
  </si>
  <si>
    <t>Core2_iPhaV</t>
  </si>
  <si>
    <t>Core2_iPhaW</t>
  </si>
  <si>
    <t>Core2_RvSin</t>
  </si>
  <si>
    <t>Core2_RvCos</t>
  </si>
  <si>
    <t>Core2_Udc</t>
  </si>
  <si>
    <t>Core0_TLC_trqMotMax</t>
  </si>
  <si>
    <t>Core0_TLC_TrqOut</t>
  </si>
  <si>
    <t>Core0_TLC_trqGenMax</t>
  </si>
  <si>
    <t>Core2_FOC_Out</t>
  </si>
  <si>
    <t>Bus:Duty</t>
  </si>
  <si>
    <t>Core2_Iqref</t>
  </si>
  <si>
    <t>Core2_Idref</t>
  </si>
  <si>
    <t>Core2_Udref</t>
  </si>
  <si>
    <t>Core2_Uqref</t>
  </si>
  <si>
    <t>Core2_Usage</t>
  </si>
  <si>
    <t>Core2_DCCurrent</t>
  </si>
  <si>
    <t>NumericType</t>
  </si>
  <si>
    <t>Fixed-point: binary point scaling</t>
  </si>
  <si>
    <t>Signed</t>
  </si>
  <si>
    <t>Unsigned</t>
  </si>
  <si>
    <t>Exported</t>
  </si>
  <si>
    <t>Imported</t>
  </si>
  <si>
    <t>Sample based</t>
  </si>
  <si>
    <t>Variable</t>
  </si>
  <si>
    <t>Frame based</t>
  </si>
  <si>
    <t>GetSet(Custom)</t>
  </si>
  <si>
    <t>应用层</t>
  </si>
  <si>
    <t>SC_</t>
  </si>
  <si>
    <t>System Constant,系统常量</t>
  </si>
  <si>
    <t>SAQ_</t>
  </si>
  <si>
    <t>Signal AcQuisition, 信号采集和传递</t>
  </si>
  <si>
    <t>ACI</t>
  </si>
  <si>
    <t>ISP_</t>
  </si>
  <si>
    <t>Input Signal Process,输入信号处理</t>
  </si>
  <si>
    <t>ISC</t>
  </si>
  <si>
    <t>SSM_</t>
  </si>
  <si>
    <t>System State Management,系统状态管理</t>
  </si>
  <si>
    <t>SYM</t>
  </si>
  <si>
    <t>PMC_</t>
  </si>
  <si>
    <t>Pmsm Motor Control,永磁同步电机控制</t>
  </si>
  <si>
    <t>MCT</t>
  </si>
  <si>
    <t>SVM_</t>
  </si>
  <si>
    <t>Space Vector PWM Modulation,空间矢量调制</t>
  </si>
  <si>
    <t>OSC</t>
  </si>
  <si>
    <t>TLC_</t>
  </si>
  <si>
    <t>Torque Limit Calculation,扭矩限制</t>
  </si>
  <si>
    <t>TQL</t>
  </si>
  <si>
    <t>TCC_</t>
  </si>
  <si>
    <t>Torque Coordinate Control,扭矩协调控制</t>
  </si>
  <si>
    <t>TDC</t>
  </si>
  <si>
    <t>OSP_</t>
  </si>
  <si>
    <t>Onput Signal Process,输出信号处理</t>
  </si>
  <si>
    <t>CDD层</t>
  </si>
  <si>
    <t>HwMgr</t>
  </si>
  <si>
    <t>Hardware Mangement,硬件管理</t>
  </si>
  <si>
    <t>PhaCur</t>
  </si>
  <si>
    <t>Phase current,相电流模块</t>
  </si>
  <si>
    <t>Rslvr</t>
  </si>
  <si>
    <t>Resolver，旋变模块</t>
  </si>
  <si>
    <t>Space Vector pulse width Modulation,空间矢量调制输出和回采</t>
  </si>
  <si>
    <t>FunMon</t>
  </si>
  <si>
    <t>Function monitoring,功能监控</t>
  </si>
  <si>
    <t>HwMon</t>
  </si>
  <si>
    <t>Hardware Monitoring,硬件监控</t>
  </si>
  <si>
    <t>trqFrcN_T</t>
  </si>
  <si>
    <t>菲仕</t>
  </si>
  <si>
    <t>TrqEmMot_T</t>
  </si>
  <si>
    <t>ExFeedBack_T</t>
  </si>
  <si>
    <t>Vdc</t>
  </si>
  <si>
    <t>转速</t>
  </si>
  <si>
    <t>PMC_psiMax</t>
  </si>
  <si>
    <t>Psi/w,Trq</t>
  </si>
  <si>
    <t>[0</t>
  </si>
  <si>
    <t>[400</t>
  </si>
  <si>
    <t>]</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</si>
</sst>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1"/>
      <color theme="1"/>
      <name val="宋体"/>
      <charset val="134"/>
      <scheme val="minor"/>
    </font>
    <font>
      <b/>
      <i/>
      <sz val="9"/>
      <color theme="1"/>
      <name val="Arial"/>
      <charset val="134"/>
    </font>
    <font>
      <i/>
      <sz val="9"/>
      <color theme="1"/>
      <name val="Arial"/>
      <charset val="134"/>
    </font>
    <font>
      <i/>
      <sz val="9"/>
      <color rgb="FFFF0000"/>
      <name val="Arial"/>
      <charset val="134"/>
    </font>
    <font>
      <sz val="9"/>
      <color theme="1"/>
      <name val="Arial"/>
      <charset val="134"/>
    </font>
    <font>
      <b/>
      <sz val="11"/>
      <color theme="1"/>
      <name val="宋体"/>
      <charset val="134"/>
      <scheme val="minor"/>
    </font>
    <font>
      <sz val="11"/>
      <color rgb="FFFF0000"/>
      <name val="宋体"/>
      <charset val="134"/>
      <scheme val="minor"/>
    </font>
    <font>
      <sz val="1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u/>
      <sz val="11"/>
      <color theme="10"/>
      <name val="宋体"/>
      <charset val="134"/>
      <scheme val="minor"/>
    </font>
    <font>
      <b/>
      <sz val="9"/>
      <name val="宋体"/>
      <charset val="134"/>
    </font>
    <font>
      <sz val="9"/>
      <name val="宋体"/>
      <charset val="134"/>
    </font>
  </fonts>
  <fills count="34">
    <fill>
      <patternFill patternType="none"/>
    </fill>
    <fill>
      <patternFill patternType="gray125"/>
    </fill>
    <fill>
      <patternFill patternType="solid">
        <fgColor rgb="FFFFFF00"/>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xf numFmtId="42" fontId="0" fillId="0" borderId="0" applyFont="0" applyFill="0" applyBorder="0" applyAlignment="0" applyProtection="0">
      <alignment vertical="center"/>
    </xf>
    <xf numFmtId="0" fontId="8" fillId="3" borderId="0" applyNumberFormat="0" applyBorder="0" applyAlignment="0" applyProtection="0">
      <alignment vertical="center"/>
    </xf>
    <xf numFmtId="0" fontId="9" fillId="4" borderId="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8" fillId="5" borderId="0" applyNumberFormat="0" applyBorder="0" applyAlignment="0" applyProtection="0">
      <alignment vertical="center"/>
    </xf>
    <xf numFmtId="0" fontId="10" fillId="6" borderId="0" applyNumberFormat="0" applyBorder="0" applyAlignment="0" applyProtection="0">
      <alignment vertical="center"/>
    </xf>
    <xf numFmtId="43" fontId="0" fillId="0" borderId="0" applyFont="0" applyFill="0" applyBorder="0" applyAlignment="0" applyProtection="0">
      <alignment vertical="center"/>
    </xf>
    <xf numFmtId="0" fontId="11" fillId="7" borderId="0" applyNumberFormat="0" applyBorder="0" applyAlignment="0" applyProtection="0">
      <alignment vertical="center"/>
    </xf>
    <xf numFmtId="0" fontId="12" fillId="0" borderId="0" applyNumberFormat="0" applyFill="0" applyBorder="0" applyAlignment="0" applyProtection="0">
      <alignment vertical="center"/>
    </xf>
    <xf numFmtId="9"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0" fillId="8" borderId="2" applyNumberFormat="0" applyFont="0" applyAlignment="0" applyProtection="0">
      <alignment vertical="center"/>
    </xf>
    <xf numFmtId="0" fontId="11" fillId="9" borderId="0" applyNumberFormat="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3" applyNumberFormat="0" applyFill="0" applyAlignment="0" applyProtection="0">
      <alignment vertical="center"/>
    </xf>
    <xf numFmtId="0" fontId="19" fillId="0" borderId="3" applyNumberFormat="0" applyFill="0" applyAlignment="0" applyProtection="0">
      <alignment vertical="center"/>
    </xf>
    <xf numFmtId="0" fontId="11" fillId="10" borderId="0" applyNumberFormat="0" applyBorder="0" applyAlignment="0" applyProtection="0">
      <alignment vertical="center"/>
    </xf>
    <xf numFmtId="0" fontId="14" fillId="0" borderId="4" applyNumberFormat="0" applyFill="0" applyAlignment="0" applyProtection="0">
      <alignment vertical="center"/>
    </xf>
    <xf numFmtId="0" fontId="11" fillId="11" borderId="0" applyNumberFormat="0" applyBorder="0" applyAlignment="0" applyProtection="0">
      <alignment vertical="center"/>
    </xf>
    <xf numFmtId="0" fontId="20" fillId="12" borderId="5" applyNumberFormat="0" applyAlignment="0" applyProtection="0">
      <alignment vertical="center"/>
    </xf>
    <xf numFmtId="0" fontId="21" fillId="12" borderId="1" applyNumberFormat="0" applyAlignment="0" applyProtection="0">
      <alignment vertical="center"/>
    </xf>
    <xf numFmtId="0" fontId="22" fillId="13" borderId="6" applyNumberFormat="0" applyAlignment="0" applyProtection="0">
      <alignment vertical="center"/>
    </xf>
    <xf numFmtId="0" fontId="8" fillId="14" borderId="0" applyNumberFormat="0" applyBorder="0" applyAlignment="0" applyProtection="0">
      <alignment vertical="center"/>
    </xf>
    <xf numFmtId="0" fontId="11" fillId="15" borderId="0" applyNumberFormat="0" applyBorder="0" applyAlignment="0" applyProtection="0">
      <alignment vertical="center"/>
    </xf>
    <xf numFmtId="0" fontId="23" fillId="0" borderId="7" applyNumberFormat="0" applyFill="0" applyAlignment="0" applyProtection="0">
      <alignment vertical="center"/>
    </xf>
    <xf numFmtId="0" fontId="24" fillId="0" borderId="8" applyNumberFormat="0" applyFill="0" applyAlignment="0" applyProtection="0">
      <alignment vertical="center"/>
    </xf>
    <xf numFmtId="0" fontId="25" fillId="16" borderId="0" applyNumberFormat="0" applyBorder="0" applyAlignment="0" applyProtection="0">
      <alignment vertical="center"/>
    </xf>
    <xf numFmtId="0" fontId="26" fillId="17" borderId="0" applyNumberFormat="0" applyBorder="0" applyAlignment="0" applyProtection="0">
      <alignment vertical="center"/>
    </xf>
    <xf numFmtId="0" fontId="8" fillId="18" borderId="0" applyNumberFormat="0" applyBorder="0" applyAlignment="0" applyProtection="0">
      <alignment vertical="center"/>
    </xf>
    <xf numFmtId="0" fontId="11" fillId="19" borderId="0" applyNumberFormat="0" applyBorder="0" applyAlignment="0" applyProtection="0">
      <alignment vertical="center"/>
    </xf>
    <xf numFmtId="0" fontId="8" fillId="20"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3" borderId="0" applyNumberFormat="0" applyBorder="0" applyAlignment="0" applyProtection="0">
      <alignment vertical="center"/>
    </xf>
    <xf numFmtId="0" fontId="11" fillId="24" borderId="0" applyNumberFormat="0" applyBorder="0" applyAlignment="0" applyProtection="0">
      <alignment vertical="center"/>
    </xf>
    <xf numFmtId="0" fontId="11" fillId="25" borderId="0" applyNumberFormat="0" applyBorder="0" applyAlignment="0" applyProtection="0">
      <alignment vertical="center"/>
    </xf>
    <xf numFmtId="0" fontId="8" fillId="26" borderId="0" applyNumberFormat="0" applyBorder="0" applyAlignment="0" applyProtection="0">
      <alignment vertical="center"/>
    </xf>
    <xf numFmtId="0" fontId="8" fillId="27" borderId="0" applyNumberFormat="0" applyBorder="0" applyAlignment="0" applyProtection="0">
      <alignment vertical="center"/>
    </xf>
    <xf numFmtId="0" fontId="11" fillId="28" borderId="0" applyNumberFormat="0" applyBorder="0" applyAlignment="0" applyProtection="0">
      <alignment vertical="center"/>
    </xf>
    <xf numFmtId="0" fontId="8" fillId="29" borderId="0" applyNumberFormat="0" applyBorder="0" applyAlignment="0" applyProtection="0">
      <alignment vertical="center"/>
    </xf>
    <xf numFmtId="0" fontId="11" fillId="30" borderId="0" applyNumberFormat="0" applyBorder="0" applyAlignment="0" applyProtection="0">
      <alignment vertical="center"/>
    </xf>
    <xf numFmtId="0" fontId="11" fillId="31" borderId="0" applyNumberFormat="0" applyBorder="0" applyAlignment="0" applyProtection="0">
      <alignment vertical="center"/>
    </xf>
    <xf numFmtId="0" fontId="8" fillId="32" borderId="0" applyNumberFormat="0" applyBorder="0" applyAlignment="0" applyProtection="0">
      <alignment vertical="center"/>
    </xf>
    <xf numFmtId="0" fontId="11" fillId="33" borderId="0" applyNumberFormat="0" applyBorder="0" applyAlignment="0" applyProtection="0">
      <alignment vertical="center"/>
    </xf>
    <xf numFmtId="0" fontId="0" fillId="0" borderId="0"/>
    <xf numFmtId="0" fontId="27" fillId="0" borderId="0" applyNumberFormat="0" applyFill="0" applyBorder="0" applyAlignment="0" applyProtection="0"/>
  </cellStyleXfs>
  <cellXfs count="27">
    <xf numFmtId="0" fontId="0" fillId="0" borderId="0" xfId="0"/>
    <xf numFmtId="0" fontId="0" fillId="0" borderId="0" xfId="0" applyAlignment="1">
      <alignment horizontal="center"/>
    </xf>
    <xf numFmtId="0" fontId="0" fillId="0" borderId="0" xfId="49"/>
    <xf numFmtId="0" fontId="1" fillId="0" borderId="0" xfId="0" applyFont="1"/>
    <xf numFmtId="0" fontId="1" fillId="0" borderId="0" xfId="0" applyFont="1" applyAlignment="1">
      <alignment horizontal="center"/>
    </xf>
    <xf numFmtId="0" fontId="1" fillId="0" borderId="0" xfId="0" applyFont="1" applyAlignment="1">
      <alignment horizontal="left"/>
    </xf>
    <xf numFmtId="0" fontId="2" fillId="0" borderId="0" xfId="0" applyFont="1" applyAlignment="1">
      <alignment horizontal="left"/>
    </xf>
    <xf numFmtId="0" fontId="0" fillId="0" borderId="0" xfId="0" applyAlignment="1">
      <alignment horizontal="left"/>
    </xf>
    <xf numFmtId="0" fontId="3" fillId="0" borderId="0" xfId="0" applyFont="1" applyAlignment="1">
      <alignment horizontal="left"/>
    </xf>
    <xf numFmtId="0" fontId="3" fillId="0" borderId="0" xfId="0" applyFont="1" applyAlignment="1">
      <alignment horizontal="center"/>
    </xf>
    <xf numFmtId="0" fontId="2" fillId="0" borderId="0" xfId="0" applyFont="1" applyAlignment="1">
      <alignment horizontal="center"/>
    </xf>
    <xf numFmtId="0" fontId="2" fillId="0" borderId="0" xfId="0" applyNumberFormat="1" applyFont="1" applyAlignment="1">
      <alignment horizontal="left"/>
    </xf>
    <xf numFmtId="0" fontId="2" fillId="0" borderId="0" xfId="0" applyNumberFormat="1" applyFont="1" applyAlignment="1">
      <alignment horizontal="center"/>
    </xf>
    <xf numFmtId="0" fontId="2" fillId="0" borderId="0" xfId="0" applyFont="1" applyAlignment="1">
      <alignment horizontal="center" wrapText="1"/>
    </xf>
    <xf numFmtId="0" fontId="0" fillId="2" borderId="0" xfId="0" applyFill="1"/>
    <xf numFmtId="0" fontId="2" fillId="2" borderId="0" xfId="0" applyFont="1" applyFill="1" applyAlignment="1">
      <alignment horizontal="left"/>
    </xf>
    <xf numFmtId="0" fontId="2" fillId="2" borderId="0" xfId="0" applyNumberFormat="1" applyFont="1" applyFill="1" applyAlignment="1">
      <alignment horizontal="center"/>
    </xf>
    <xf numFmtId="0" fontId="2" fillId="2" borderId="0" xfId="0" applyFont="1" applyFill="1" applyAlignment="1">
      <alignment horizontal="center"/>
    </xf>
    <xf numFmtId="0" fontId="4" fillId="0" borderId="0" xfId="0" applyFont="1"/>
    <xf numFmtId="0" fontId="4" fillId="0" borderId="0" xfId="0" applyFont="1" applyAlignment="1">
      <alignment horizontal="center" wrapText="1"/>
    </xf>
    <xf numFmtId="0" fontId="2" fillId="0" borderId="0" xfId="0" applyFont="1" applyAlignment="1"/>
    <xf numFmtId="0" fontId="1" fillId="0" borderId="0" xfId="0" applyNumberFormat="1" applyFont="1" applyAlignment="1">
      <alignment horizontal="center"/>
    </xf>
    <xf numFmtId="0" fontId="5" fillId="0" borderId="0" xfId="0" applyFont="1"/>
    <xf numFmtId="0" fontId="6" fillId="0" borderId="0" xfId="0" applyFont="1"/>
    <xf numFmtId="0" fontId="7" fillId="0" borderId="0" xfId="0" applyFont="1"/>
    <xf numFmtId="0" fontId="0" fillId="0" borderId="0" xfId="0" applyFont="1" applyAlignment="1">
      <alignment horizontal="left"/>
    </xf>
    <xf numFmtId="0" fontId="0" fillId="0" borderId="0" xfId="0" applyFont="1"/>
    <xf numFmtId="0" fontId="2" fillId="0" borderId="0" xfId="0" applyFont="1" applyAlignment="1" quotePrefix="1">
      <alignment horizontal="center"/>
    </xf>
  </cellXfs>
  <cellStyles count="51">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2" xfId="49"/>
    <cellStyle name="超链接 2" xfId="50"/>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7" Type="http://schemas.openxmlformats.org/officeDocument/2006/relationships/sharedStrings" Target="sharedStrings.xml"/><Relationship Id="rId16" Type="http://schemas.openxmlformats.org/officeDocument/2006/relationships/styles" Target="styles.xml"/><Relationship Id="rId15" Type="http://schemas.openxmlformats.org/officeDocument/2006/relationships/theme" Target="theme/theme1.xml"/><Relationship Id="rId14" Type="http://schemas.openxmlformats.org/officeDocument/2006/relationships/externalLink" Target="externalLinks/externalLink3.xml"/><Relationship Id="rId13" Type="http://schemas.openxmlformats.org/officeDocument/2006/relationships/externalLink" Target="externalLinks/externalLink2.xml"/><Relationship Id="rId12" Type="http://schemas.openxmlformats.org/officeDocument/2006/relationships/externalLink" Target="externalLinks/externalLink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zhang\Desktop\ParameterGenerator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PU_project\ES19A_MPU_Project_0807\motorcontrol\utilities\ParameterGenerato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arameterGenerator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Overview"/>
      <sheetName val="DataTypeDefinition"/>
      <sheetName val="ParameterDefinition"/>
      <sheetName val="TableDefinition"/>
      <sheetName val="SignalDefinition"/>
      <sheetName val="BusDefinition"/>
      <sheetName val="Comment"/>
      <sheetName val="ModuleDefination"/>
      <sheetName val="TableProcess"/>
      <sheetName val="Sheet1"/>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Overview"/>
      <sheetName val="DataTypeDefinition"/>
      <sheetName val="ParameterDefinition2"/>
      <sheetName val="ParameterDefinition"/>
      <sheetName val="TableDefinition"/>
      <sheetName val="SignalDefinition"/>
      <sheetName val="BusDefinition"/>
      <sheetName val="Comment"/>
      <sheetName val="ModuleDefination"/>
      <sheetName val="TableProcess"/>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Overview"/>
      <sheetName val="DataTypeDefinition"/>
      <sheetName val="ParameterDefinition"/>
      <sheetName val="ParameterDefinition2"/>
      <sheetName val="TableDefinition"/>
      <sheetName val="SignalDefinition"/>
      <sheetName val="BusDefinition"/>
      <sheetName val="Comment"/>
      <sheetName val="ModuleDefination"/>
      <sheetName val="TableProcess"/>
      <sheetName val="Sheet1"/>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7"/>
  <sheetViews>
    <sheetView workbookViewId="0">
      <selection activeCell="G21" sqref="G21"/>
    </sheetView>
  </sheetViews>
  <sheetFormatPr defaultColWidth="9" defaultRowHeight="14" outlineLevelCol="6"/>
  <cols>
    <col min="1" max="1" width="10.3727272727273"/>
  </cols>
  <sheetData>
    <row r="1" spans="1:1">
      <c r="A1" s="22" t="s">
        <v>0</v>
      </c>
    </row>
    <row r="2" spans="1:1">
      <c r="A2" t="s">
        <v>1</v>
      </c>
    </row>
    <row r="3" spans="1:1">
      <c r="A3" t="s">
        <v>2</v>
      </c>
    </row>
    <row r="4" spans="1:1">
      <c r="A4" t="s">
        <v>3</v>
      </c>
    </row>
    <row r="5" spans="1:1">
      <c r="A5" t="s">
        <v>4</v>
      </c>
    </row>
    <row r="6" spans="1:1">
      <c r="A6" t="s">
        <v>5</v>
      </c>
    </row>
    <row r="7" spans="1:1">
      <c r="A7" t="s">
        <v>6</v>
      </c>
    </row>
    <row r="8" spans="1:1">
      <c r="A8" s="23" t="s">
        <v>7</v>
      </c>
    </row>
    <row r="9" spans="1:1">
      <c r="A9" s="24" t="s">
        <v>8</v>
      </c>
    </row>
    <row r="10" spans="1:1">
      <c r="A10" s="23"/>
    </row>
    <row r="12" spans="1:1">
      <c r="A12" s="22" t="s">
        <v>9</v>
      </c>
    </row>
    <row r="13" spans="1:7">
      <c r="A13" t="s">
        <v>10</v>
      </c>
      <c r="B13" t="s">
        <v>11</v>
      </c>
      <c r="G13" t="s">
        <v>12</v>
      </c>
    </row>
    <row r="14" spans="1:7">
      <c r="A14" t="s">
        <v>13</v>
      </c>
      <c r="B14" s="1" t="s">
        <v>14</v>
      </c>
      <c r="C14" s="1"/>
      <c r="D14" s="1"/>
      <c r="E14" s="1"/>
      <c r="F14" s="1"/>
      <c r="G14" t="s">
        <v>15</v>
      </c>
    </row>
    <row r="15" spans="1:7">
      <c r="A15" s="7">
        <v>20170508</v>
      </c>
      <c r="B15" s="7" t="s">
        <v>16</v>
      </c>
      <c r="C15" s="7"/>
      <c r="D15" s="7"/>
      <c r="E15" s="7"/>
      <c r="F15" s="7"/>
      <c r="G15" t="s">
        <v>17</v>
      </c>
    </row>
    <row r="16" spans="2:6">
      <c r="B16" s="7" t="s">
        <v>18</v>
      </c>
      <c r="C16" s="7"/>
      <c r="D16" s="7"/>
      <c r="E16" s="7"/>
      <c r="F16" s="7"/>
    </row>
    <row r="17" spans="2:6">
      <c r="B17" s="7" t="s">
        <v>19</v>
      </c>
      <c r="C17" s="7"/>
      <c r="D17" s="7"/>
      <c r="E17" s="7"/>
      <c r="F17" s="7"/>
    </row>
    <row r="18" spans="1:6">
      <c r="A18">
        <v>20170516</v>
      </c>
      <c r="B18" s="7" t="s">
        <v>20</v>
      </c>
      <c r="C18" s="7"/>
      <c r="D18" s="7"/>
      <c r="E18" s="7"/>
      <c r="F18" s="7"/>
    </row>
    <row r="19" spans="1:7">
      <c r="A19">
        <v>201803111</v>
      </c>
      <c r="B19" s="7" t="s">
        <v>21</v>
      </c>
      <c r="C19" s="7"/>
      <c r="D19" s="7"/>
      <c r="E19" s="7"/>
      <c r="F19" s="7"/>
      <c r="G19" t="s">
        <v>17</v>
      </c>
    </row>
    <row r="20" spans="1:7">
      <c r="A20">
        <v>20181220</v>
      </c>
      <c r="B20" s="25" t="s">
        <v>22</v>
      </c>
      <c r="C20" s="7"/>
      <c r="D20" s="7"/>
      <c r="E20" s="7"/>
      <c r="F20" s="7"/>
      <c r="G20" s="26" t="s">
        <v>23</v>
      </c>
    </row>
    <row r="21" spans="2:6">
      <c r="B21" s="25" t="s">
        <v>24</v>
      </c>
      <c r="C21" s="7"/>
      <c r="D21" s="7"/>
      <c r="E21" s="7"/>
      <c r="F21" s="7"/>
    </row>
    <row r="22" spans="2:6">
      <c r="B22" s="7"/>
      <c r="C22" s="7"/>
      <c r="D22" s="7"/>
      <c r="E22" s="7"/>
      <c r="F22" s="7"/>
    </row>
    <row r="23" spans="2:6">
      <c r="B23" s="7"/>
      <c r="C23" s="7"/>
      <c r="D23" s="7"/>
      <c r="E23" s="7"/>
      <c r="F23" s="7"/>
    </row>
    <row r="24" spans="2:6">
      <c r="B24" s="7"/>
      <c r="C24" s="7"/>
      <c r="D24" s="7"/>
      <c r="E24" s="7"/>
      <c r="F24" s="7"/>
    </row>
    <row r="25" spans="2:6">
      <c r="B25" s="7"/>
      <c r="C25" s="7"/>
      <c r="D25" s="7"/>
      <c r="E25" s="7"/>
      <c r="F25" s="7"/>
    </row>
    <row r="26" spans="2:6">
      <c r="B26" s="7"/>
      <c r="C26" s="7"/>
      <c r="D26" s="7"/>
      <c r="E26" s="7"/>
      <c r="F26" s="7"/>
    </row>
    <row r="27" spans="2:6">
      <c r="B27" s="7"/>
      <c r="C27" s="7"/>
      <c r="D27" s="7"/>
      <c r="E27" s="7"/>
      <c r="F27" s="7"/>
    </row>
  </sheetData>
  <mergeCells count="14">
    <mergeCell ref="B14:F14"/>
    <mergeCell ref="B15:F15"/>
    <mergeCell ref="B16:F16"/>
    <mergeCell ref="B17:F17"/>
    <mergeCell ref="B18:F18"/>
    <mergeCell ref="B19:F19"/>
    <mergeCell ref="B20:F20"/>
    <mergeCell ref="B21:F21"/>
    <mergeCell ref="B22:F22"/>
    <mergeCell ref="B23:F23"/>
    <mergeCell ref="B24:F24"/>
    <mergeCell ref="B25:F25"/>
    <mergeCell ref="B26:F26"/>
    <mergeCell ref="B27:F27"/>
  </mergeCells>
  <pageMargins left="0.75" right="0.75" top="1" bottom="1" header="0.511805555555556" footer="0.511805555555556"/>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1"/>
  <sheetViews>
    <sheetView topLeftCell="A5" workbookViewId="0">
      <selection activeCell="C18" sqref="C18"/>
    </sheetView>
  </sheetViews>
  <sheetFormatPr defaultColWidth="9" defaultRowHeight="11.5"/>
  <cols>
    <col min="1" max="1" width="18.6272727272727" style="6" customWidth="1"/>
    <col min="2" max="2" width="10.3727272727273" style="10" customWidth="1"/>
    <col min="3" max="3" width="14.1272727272727" style="6" customWidth="1"/>
    <col min="4" max="4" width="8.75454545454545" style="10" customWidth="1"/>
    <col min="5" max="5" width="6.37272727272727" style="10" customWidth="1"/>
    <col min="6" max="6" width="8.37272727272727" style="10" customWidth="1"/>
    <col min="7" max="7" width="9.87272727272727" style="10" customWidth="1"/>
    <col min="8" max="8" width="12" style="10" customWidth="1"/>
    <col min="9" max="9" width="8.37272727272727" style="12" customWidth="1"/>
    <col min="10" max="10" width="8.12727272727273" style="12" customWidth="1"/>
    <col min="11" max="11" width="8.62727272727273" style="10" customWidth="1"/>
    <col min="12" max="12" width="9" style="10" customWidth="1"/>
    <col min="13" max="13" width="15.2545454545455" style="6" customWidth="1"/>
    <col min="14" max="14" width="33.7545454545455" style="20" customWidth="1"/>
    <col min="15" max="16384" width="9" style="10"/>
  </cols>
  <sheetData>
    <row r="1" s="4" customFormat="1" spans="1:14">
      <c r="A1" s="5" t="s">
        <v>25</v>
      </c>
      <c r="B1" s="4" t="s">
        <v>26</v>
      </c>
      <c r="C1" s="4" t="s">
        <v>27</v>
      </c>
      <c r="D1" s="4" t="s">
        <v>28</v>
      </c>
      <c r="E1" s="4" t="s">
        <v>29</v>
      </c>
      <c r="F1" s="4" t="s">
        <v>30</v>
      </c>
      <c r="G1" s="4" t="s">
        <v>31</v>
      </c>
      <c r="H1" s="4" t="s">
        <v>32</v>
      </c>
      <c r="I1" s="21" t="s">
        <v>33</v>
      </c>
      <c r="J1" s="21" t="s">
        <v>34</v>
      </c>
      <c r="K1" s="4" t="s">
        <v>35</v>
      </c>
      <c r="L1" s="4" t="s">
        <v>11</v>
      </c>
      <c r="M1" s="4" t="s">
        <v>36</v>
      </c>
      <c r="N1" s="4" t="s">
        <v>37</v>
      </c>
    </row>
    <row r="2" spans="1:14">
      <c r="A2" s="18" t="s">
        <v>38</v>
      </c>
      <c r="N2" s="20" t="s">
        <v>39</v>
      </c>
    </row>
    <row r="3" spans="1:14">
      <c r="A3" s="18" t="s">
        <v>40</v>
      </c>
      <c r="N3" s="20" t="s">
        <v>39</v>
      </c>
    </row>
    <row r="4" spans="1:14">
      <c r="A4" s="18" t="s">
        <v>41</v>
      </c>
      <c r="N4" s="20" t="s">
        <v>39</v>
      </c>
    </row>
    <row r="5" spans="1:14">
      <c r="A5" s="18" t="s">
        <v>42</v>
      </c>
      <c r="N5" s="20" t="s">
        <v>39</v>
      </c>
    </row>
    <row r="6" spans="1:14">
      <c r="A6" s="18" t="s">
        <v>43</v>
      </c>
      <c r="N6" s="20" t="s">
        <v>39</v>
      </c>
    </row>
    <row r="7" spans="1:14">
      <c r="A7" s="18" t="s">
        <v>44</v>
      </c>
      <c r="N7" s="20" t="s">
        <v>39</v>
      </c>
    </row>
    <row r="8" spans="1:14">
      <c r="A8" s="18" t="s">
        <v>45</v>
      </c>
      <c r="N8" s="20" t="s">
        <v>39</v>
      </c>
    </row>
    <row r="9" spans="1:14">
      <c r="A9" s="6" t="s">
        <v>46</v>
      </c>
      <c r="N9" s="20" t="s">
        <v>39</v>
      </c>
    </row>
    <row r="10" spans="1:1">
      <c r="A10" s="6" t="s">
        <v>47</v>
      </c>
    </row>
    <row r="11" spans="1:1">
      <c r="A11" s="6" t="s">
        <v>48</v>
      </c>
    </row>
    <row r="12" spans="1:1">
      <c r="A12" s="6" t="s">
        <v>49</v>
      </c>
    </row>
    <row r="13" spans="1:1">
      <c r="A13" s="6" t="s">
        <v>50</v>
      </c>
    </row>
    <row r="14" spans="1:1">
      <c r="A14" s="6" t="s">
        <v>51</v>
      </c>
    </row>
    <row r="15" spans="1:1">
      <c r="A15" s="6" t="s">
        <v>52</v>
      </c>
    </row>
    <row r="16" spans="1:1">
      <c r="A16" s="6" t="s">
        <v>53</v>
      </c>
    </row>
    <row r="17" spans="1:1">
      <c r="A17" s="6" t="s">
        <v>54</v>
      </c>
    </row>
    <row r="18" spans="1:1">
      <c r="A18" s="6" t="s">
        <v>55</v>
      </c>
    </row>
    <row r="19" spans="1:1">
      <c r="A19" s="6" t="s">
        <v>56</v>
      </c>
    </row>
    <row r="20" spans="1:1">
      <c r="A20" s="6" t="s">
        <v>57</v>
      </c>
    </row>
    <row r="21" spans="1:1">
      <c r="A21" s="6" t="s">
        <v>58</v>
      </c>
    </row>
    <row r="22" spans="1:1">
      <c r="A22" s="6" t="s">
        <v>59</v>
      </c>
    </row>
    <row r="23" spans="1:1">
      <c r="A23" s="6" t="s">
        <v>60</v>
      </c>
    </row>
    <row r="24" spans="1:1">
      <c r="A24" s="6" t="s">
        <v>61</v>
      </c>
    </row>
    <row r="25" spans="1:1">
      <c r="A25" s="6" t="s">
        <v>62</v>
      </c>
    </row>
    <row r="26" spans="1:1">
      <c r="A26" s="6" t="s">
        <v>63</v>
      </c>
    </row>
    <row r="27" spans="1:1">
      <c r="A27" s="6" t="s">
        <v>64</v>
      </c>
    </row>
    <row r="28" spans="1:1">
      <c r="A28" s="6" t="s">
        <v>65</v>
      </c>
    </row>
    <row r="29" spans="1:1">
      <c r="A29" s="6" t="s">
        <v>66</v>
      </c>
    </row>
    <row r="30" spans="1:1">
      <c r="A30" s="6" t="s">
        <v>67</v>
      </c>
    </row>
    <row r="31" spans="1:1">
      <c r="A31" s="6" t="s">
        <v>68</v>
      </c>
    </row>
  </sheetData>
  <dataValidations count="6">
    <dataValidation type="list" allowBlank="1" showInputMessage="1" showErrorMessage="1" sqref="B$1:B$1048576">
      <formula1>Comment!$B$4</formula1>
    </dataValidation>
    <dataValidation type="list" allowBlank="1" showInputMessage="1" showErrorMessage="1" sqref="C$1:C$1048576">
      <formula1>Comment!$C$4</formula1>
    </dataValidation>
    <dataValidation type="list" allowBlank="1" showInputMessage="1" showErrorMessage="1" sqref="G$1:G$1048576">
      <formula1>Comment!$G$4:$G$6</formula1>
    </dataValidation>
    <dataValidation type="list" allowBlank="1" showInputMessage="1" showErrorMessage="1" sqref="D$1:D$1048576">
      <formula1>Comment!$D$4:$D$5</formula1>
    </dataValidation>
    <dataValidation type="list" allowBlank="1" showInputMessage="1" showErrorMessage="1" sqref="E$1:E$1048576">
      <formula1>Comment!$E$4:$E$5</formula1>
    </dataValidation>
    <dataValidation type="list" allowBlank="1" showInputMessage="1" showErrorMessage="1" sqref="F$1:F$1048576">
      <formula1>Comment!$F$4:$F$6</formula1>
    </dataValidation>
  </dataValidations>
  <pageMargins left="0.699305555555556" right="0.699305555555556"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55"/>
  <sheetViews>
    <sheetView zoomScale="115" zoomScaleNormal="115" workbookViewId="0">
      <pane ySplit="1" topLeftCell="A44" activePane="bottomLeft" state="frozen"/>
      <selection/>
      <selection pane="bottomLeft" activeCell="C62" sqref="C62"/>
    </sheetView>
  </sheetViews>
  <sheetFormatPr defaultColWidth="9" defaultRowHeight="11.5"/>
  <cols>
    <col min="1" max="1" width="31.3" style="6" customWidth="1"/>
    <col min="2" max="2" width="8.12727272727273" style="6" customWidth="1"/>
    <col min="3" max="3" width="55.8727272727273" style="10" customWidth="1"/>
    <col min="4" max="4" width="12" style="10" customWidth="1"/>
    <col min="5" max="5" width="8.12727272727273" style="10" customWidth="1"/>
    <col min="6" max="6" width="7.37272727272727" style="10" customWidth="1"/>
    <col min="7" max="7" width="5.62727272727273" style="10" customWidth="1"/>
    <col min="8" max="8" width="10.2545454545455" style="10" customWidth="1"/>
    <col min="9" max="9" width="16" style="10" customWidth="1"/>
    <col min="10" max="10" width="10.2545454545455" style="10" customWidth="1"/>
    <col min="11" max="11" width="11.8727272727273" style="10" customWidth="1"/>
    <col min="12" max="12" width="26.1272727272727" style="6" customWidth="1"/>
    <col min="13" max="16384" width="9" style="10"/>
  </cols>
  <sheetData>
    <row r="1" s="4" customFormat="1" spans="1:12">
      <c r="A1" s="5" t="s">
        <v>69</v>
      </c>
      <c r="B1" s="5" t="s">
        <v>26</v>
      </c>
      <c r="C1" s="4" t="s">
        <v>70</v>
      </c>
      <c r="D1" s="4" t="s">
        <v>71</v>
      </c>
      <c r="E1" s="4" t="s">
        <v>33</v>
      </c>
      <c r="F1" s="4" t="s">
        <v>34</v>
      </c>
      <c r="G1" s="4" t="s">
        <v>72</v>
      </c>
      <c r="H1" s="4" t="s">
        <v>73</v>
      </c>
      <c r="I1" s="4" t="s">
        <v>74</v>
      </c>
      <c r="J1" s="4" t="s">
        <v>75</v>
      </c>
      <c r="K1" s="4" t="s">
        <v>76</v>
      </c>
      <c r="L1" s="5" t="s">
        <v>11</v>
      </c>
    </row>
    <row r="2" spans="1:12">
      <c r="A2" s="6" t="s">
        <v>77</v>
      </c>
      <c r="B2" s="6" t="s">
        <v>78</v>
      </c>
      <c r="C2" s="10">
        <v>0.317712</v>
      </c>
      <c r="D2" s="10" t="s">
        <v>45</v>
      </c>
      <c r="E2" s="10">
        <v>0</v>
      </c>
      <c r="F2" s="10">
        <v>0.99</v>
      </c>
      <c r="G2" s="10" t="s">
        <v>79</v>
      </c>
      <c r="H2" s="10" t="s">
        <v>80</v>
      </c>
      <c r="I2" s="10" t="s">
        <v>81</v>
      </c>
      <c r="J2" s="10" t="s">
        <v>82</v>
      </c>
      <c r="K2" s="10" t="s">
        <v>83</v>
      </c>
      <c r="L2" s="6" t="s">
        <v>84</v>
      </c>
    </row>
    <row r="3" spans="1:12">
      <c r="A3" s="6" t="s">
        <v>85</v>
      </c>
      <c r="B3" s="6" t="s">
        <v>78</v>
      </c>
      <c r="C3" s="10">
        <v>0.0244150559</v>
      </c>
      <c r="D3" s="10" t="s">
        <v>45</v>
      </c>
      <c r="E3" s="10">
        <v>-0.6</v>
      </c>
      <c r="F3" s="10">
        <v>0.6</v>
      </c>
      <c r="G3" s="10" t="s">
        <v>79</v>
      </c>
      <c r="H3" s="10" t="s">
        <v>80</v>
      </c>
      <c r="I3" s="10" t="s">
        <v>81</v>
      </c>
      <c r="J3" s="10" t="s">
        <v>82</v>
      </c>
      <c r="K3" s="10" t="s">
        <v>83</v>
      </c>
      <c r="L3" s="6" t="s">
        <v>86</v>
      </c>
    </row>
    <row r="4" spans="1:12">
      <c r="A4" s="6" t="s">
        <v>87</v>
      </c>
      <c r="B4" s="6" t="s">
        <v>78</v>
      </c>
      <c r="C4" s="17">
        <v>0</v>
      </c>
      <c r="D4" s="10" t="s">
        <v>42</v>
      </c>
      <c r="E4" s="10">
        <v>-32768</v>
      </c>
      <c r="F4" s="10">
        <v>32767</v>
      </c>
      <c r="G4" s="10" t="s">
        <v>79</v>
      </c>
      <c r="H4" s="10" t="s">
        <v>80</v>
      </c>
      <c r="I4" s="10" t="s">
        <v>81</v>
      </c>
      <c r="J4" s="10" t="s">
        <v>82</v>
      </c>
      <c r="K4" s="10" t="s">
        <v>83</v>
      </c>
      <c r="L4" s="6" t="s">
        <v>88</v>
      </c>
    </row>
    <row r="5" spans="1:12">
      <c r="A5" s="18" t="s">
        <v>89</v>
      </c>
      <c r="B5" s="6" t="s">
        <v>78</v>
      </c>
      <c r="C5" s="10">
        <v>0.003</v>
      </c>
      <c r="D5" s="10" t="s">
        <v>45</v>
      </c>
      <c r="E5" s="10">
        <v>-0.1</v>
      </c>
      <c r="F5" s="10">
        <v>0.1</v>
      </c>
      <c r="G5" s="10" t="s">
        <v>79</v>
      </c>
      <c r="H5" s="10" t="s">
        <v>80</v>
      </c>
      <c r="I5" s="10" t="s">
        <v>81</v>
      </c>
      <c r="J5" s="10" t="s">
        <v>82</v>
      </c>
      <c r="K5" s="10" t="s">
        <v>83</v>
      </c>
      <c r="L5" s="6" t="s">
        <v>90</v>
      </c>
    </row>
    <row r="6" spans="1:12">
      <c r="A6" s="6" t="s">
        <v>91</v>
      </c>
      <c r="B6" s="6" t="s">
        <v>78</v>
      </c>
      <c r="C6" s="10">
        <v>16</v>
      </c>
      <c r="D6" s="10" t="s">
        <v>45</v>
      </c>
      <c r="E6" s="10">
        <v>0</v>
      </c>
      <c r="F6" s="10">
        <v>500</v>
      </c>
      <c r="G6" s="10" t="s">
        <v>92</v>
      </c>
      <c r="H6" s="10" t="s">
        <v>80</v>
      </c>
      <c r="I6" s="10" t="s">
        <v>81</v>
      </c>
      <c r="J6" s="10" t="s">
        <v>82</v>
      </c>
      <c r="K6" s="10" t="s">
        <v>83</v>
      </c>
      <c r="L6" s="6" t="s">
        <v>93</v>
      </c>
    </row>
    <row r="7" spans="1:12">
      <c r="A7" s="6" t="s">
        <v>94</v>
      </c>
      <c r="B7" s="6" t="s">
        <v>78</v>
      </c>
      <c r="C7" s="10">
        <v>280</v>
      </c>
      <c r="D7" s="10" t="s">
        <v>45</v>
      </c>
      <c r="E7" s="10">
        <v>0</v>
      </c>
      <c r="F7" s="10">
        <v>500</v>
      </c>
      <c r="G7" s="10" t="s">
        <v>92</v>
      </c>
      <c r="H7" s="10" t="s">
        <v>80</v>
      </c>
      <c r="I7" s="10" t="s">
        <v>81</v>
      </c>
      <c r="J7" s="10" t="s">
        <v>82</v>
      </c>
      <c r="K7" s="10" t="s">
        <v>83</v>
      </c>
      <c r="L7" s="6" t="s">
        <v>93</v>
      </c>
    </row>
    <row r="8" spans="1:12">
      <c r="A8" s="6" t="s">
        <v>95</v>
      </c>
      <c r="B8" s="6" t="s">
        <v>78</v>
      </c>
      <c r="C8" s="10">
        <v>150000</v>
      </c>
      <c r="D8" s="10" t="s">
        <v>45</v>
      </c>
      <c r="E8" s="10">
        <v>0</v>
      </c>
      <c r="F8" s="10">
        <v>200000</v>
      </c>
      <c r="G8" s="10" t="s">
        <v>96</v>
      </c>
      <c r="H8" s="10" t="s">
        <v>80</v>
      </c>
      <c r="I8" s="10" t="s">
        <v>81</v>
      </c>
      <c r="J8" s="10" t="s">
        <v>82</v>
      </c>
      <c r="K8" s="10" t="s">
        <v>83</v>
      </c>
      <c r="L8" s="6" t="s">
        <v>97</v>
      </c>
    </row>
    <row r="9" spans="1:12">
      <c r="A9" s="6" t="s">
        <v>98</v>
      </c>
      <c r="B9" s="6" t="s">
        <v>78</v>
      </c>
      <c r="C9" s="10">
        <v>450</v>
      </c>
      <c r="D9" s="10" t="s">
        <v>45</v>
      </c>
      <c r="E9" s="10">
        <v>0</v>
      </c>
      <c r="F9" s="10">
        <v>500</v>
      </c>
      <c r="G9" s="10" t="s">
        <v>99</v>
      </c>
      <c r="H9" s="10" t="s">
        <v>80</v>
      </c>
      <c r="I9" s="10" t="s">
        <v>81</v>
      </c>
      <c r="J9" s="10" t="s">
        <v>82</v>
      </c>
      <c r="K9" s="10" t="s">
        <v>83</v>
      </c>
      <c r="L9" s="6" t="s">
        <v>100</v>
      </c>
    </row>
    <row r="10" spans="1:12">
      <c r="A10" s="6" t="s">
        <v>101</v>
      </c>
      <c r="B10" s="6" t="s">
        <v>78</v>
      </c>
      <c r="C10" s="10">
        <v>5</v>
      </c>
      <c r="D10" s="10" t="s">
        <v>45</v>
      </c>
      <c r="E10" s="10">
        <v>0</v>
      </c>
      <c r="F10" s="10">
        <v>32</v>
      </c>
      <c r="G10" s="10" t="s">
        <v>79</v>
      </c>
      <c r="H10" s="10" t="s">
        <v>80</v>
      </c>
      <c r="I10" s="10" t="s">
        <v>81</v>
      </c>
      <c r="J10" s="10" t="s">
        <v>82</v>
      </c>
      <c r="K10" s="10" t="s">
        <v>83</v>
      </c>
      <c r="L10" s="6" t="s">
        <v>102</v>
      </c>
    </row>
    <row r="11" spans="1:12">
      <c r="A11" s="6" t="s">
        <v>103</v>
      </c>
      <c r="B11" s="6" t="s">
        <v>78</v>
      </c>
      <c r="C11" s="19">
        <v>0.006326405</v>
      </c>
      <c r="D11" s="10" t="s">
        <v>45</v>
      </c>
      <c r="E11" s="10">
        <v>0</v>
      </c>
      <c r="F11" s="10">
        <v>0.05</v>
      </c>
      <c r="G11" s="10" t="s">
        <v>104</v>
      </c>
      <c r="H11" s="10" t="s">
        <v>80</v>
      </c>
      <c r="I11" s="10" t="s">
        <v>81</v>
      </c>
      <c r="J11" s="10" t="s">
        <v>82</v>
      </c>
      <c r="K11" s="10" t="s">
        <v>83</v>
      </c>
      <c r="L11" s="6" t="s">
        <v>105</v>
      </c>
    </row>
    <row r="12" spans="1:12">
      <c r="A12" s="6" t="s">
        <v>106</v>
      </c>
      <c r="B12" s="6" t="s">
        <v>78</v>
      </c>
      <c r="C12" s="13">
        <v>0.016113869</v>
      </c>
      <c r="D12" s="10" t="s">
        <v>45</v>
      </c>
      <c r="E12" s="10">
        <v>0</v>
      </c>
      <c r="F12" s="10">
        <v>0.05</v>
      </c>
      <c r="G12" s="10" t="s">
        <v>104</v>
      </c>
      <c r="H12" s="10" t="s">
        <v>80</v>
      </c>
      <c r="I12" s="10" t="s">
        <v>81</v>
      </c>
      <c r="J12" s="10" t="s">
        <v>82</v>
      </c>
      <c r="K12" s="10" t="s">
        <v>83</v>
      </c>
      <c r="L12" s="6" t="s">
        <v>107</v>
      </c>
    </row>
    <row r="13" spans="1:12">
      <c r="A13" s="6" t="s">
        <v>108</v>
      </c>
      <c r="B13" s="6" t="s">
        <v>78</v>
      </c>
      <c r="C13" s="10">
        <v>1</v>
      </c>
      <c r="D13" s="10" t="s">
        <v>45</v>
      </c>
      <c r="E13" s="10">
        <v>0</v>
      </c>
      <c r="F13" s="10">
        <v>32</v>
      </c>
      <c r="G13" s="10" t="s">
        <v>79</v>
      </c>
      <c r="H13" s="10" t="s">
        <v>80</v>
      </c>
      <c r="I13" s="10" t="s">
        <v>81</v>
      </c>
      <c r="J13" s="10" t="s">
        <v>82</v>
      </c>
      <c r="K13" s="10" t="s">
        <v>83</v>
      </c>
      <c r="L13" s="6" t="s">
        <v>109</v>
      </c>
    </row>
    <row r="14" spans="1:12">
      <c r="A14" s="6" t="s">
        <v>110</v>
      </c>
      <c r="B14" s="6" t="s">
        <v>78</v>
      </c>
      <c r="C14" s="10" t="s">
        <v>111</v>
      </c>
      <c r="D14" s="10" t="s">
        <v>45</v>
      </c>
      <c r="E14" s="10">
        <v>0</v>
      </c>
      <c r="F14" s="10">
        <v>1</v>
      </c>
      <c r="G14" s="10" t="s">
        <v>112</v>
      </c>
      <c r="H14" s="10" t="s">
        <v>80</v>
      </c>
      <c r="I14" s="10" t="s">
        <v>81</v>
      </c>
      <c r="J14" s="10" t="s">
        <v>82</v>
      </c>
      <c r="K14" s="10" t="s">
        <v>83</v>
      </c>
      <c r="L14" s="6" t="s">
        <v>113</v>
      </c>
    </row>
    <row r="15" spans="1:12">
      <c r="A15" s="6" t="s">
        <v>114</v>
      </c>
      <c r="B15" s="6" t="s">
        <v>78</v>
      </c>
      <c r="C15" s="10">
        <v>0.070528</v>
      </c>
      <c r="D15" s="10" t="s">
        <v>45</v>
      </c>
      <c r="E15" s="10">
        <v>0</v>
      </c>
      <c r="F15" s="10">
        <v>1</v>
      </c>
      <c r="G15" s="10" t="s">
        <v>79</v>
      </c>
      <c r="H15" s="10" t="s">
        <v>80</v>
      </c>
      <c r="I15" s="10" t="s">
        <v>81</v>
      </c>
      <c r="J15" s="10" t="s">
        <v>82</v>
      </c>
      <c r="K15" s="10" t="s">
        <v>83</v>
      </c>
      <c r="L15" s="6" t="s">
        <v>115</v>
      </c>
    </row>
    <row r="16" spans="1:12">
      <c r="A16" s="6" t="s">
        <v>116</v>
      </c>
      <c r="B16" s="6" t="s">
        <v>78</v>
      </c>
      <c r="C16" s="10">
        <v>1.065</v>
      </c>
      <c r="D16" s="10" t="s">
        <v>45</v>
      </c>
      <c r="E16" s="10">
        <v>0</v>
      </c>
      <c r="F16" s="10">
        <v>1.1</v>
      </c>
      <c r="G16" s="10" t="s">
        <v>79</v>
      </c>
      <c r="H16" s="10" t="s">
        <v>80</v>
      </c>
      <c r="I16" s="10" t="s">
        <v>81</v>
      </c>
      <c r="J16" s="10" t="s">
        <v>82</v>
      </c>
      <c r="K16" s="10" t="s">
        <v>83</v>
      </c>
      <c r="L16" s="6" t="s">
        <v>117</v>
      </c>
    </row>
    <row r="17" customFormat="1" ht="14" spans="1:12">
      <c r="A17" s="6" t="s">
        <v>118</v>
      </c>
      <c r="B17" s="6" t="s">
        <v>78</v>
      </c>
      <c r="C17" s="10">
        <v>1500</v>
      </c>
      <c r="D17" s="10" t="s">
        <v>45</v>
      </c>
      <c r="E17" s="10">
        <v>0</v>
      </c>
      <c r="F17" s="10">
        <v>2000</v>
      </c>
      <c r="G17" s="10" t="s">
        <v>79</v>
      </c>
      <c r="H17" s="10" t="s">
        <v>80</v>
      </c>
      <c r="I17" s="10" t="s">
        <v>81</v>
      </c>
      <c r="J17" s="10" t="s">
        <v>82</v>
      </c>
      <c r="K17" s="10" t="s">
        <v>83</v>
      </c>
      <c r="L17" s="6" t="s">
        <v>119</v>
      </c>
    </row>
    <row r="18" customFormat="1" ht="14" spans="1:12">
      <c r="A18" s="6" t="s">
        <v>120</v>
      </c>
      <c r="B18" s="6" t="s">
        <v>78</v>
      </c>
      <c r="C18" s="10">
        <v>-1500</v>
      </c>
      <c r="D18" s="10" t="s">
        <v>45</v>
      </c>
      <c r="E18" s="10">
        <v>-2000</v>
      </c>
      <c r="F18" s="10">
        <v>0</v>
      </c>
      <c r="G18" s="10" t="s">
        <v>79</v>
      </c>
      <c r="H18" s="10" t="s">
        <v>80</v>
      </c>
      <c r="I18" s="10" t="s">
        <v>81</v>
      </c>
      <c r="J18" s="10" t="s">
        <v>82</v>
      </c>
      <c r="K18" s="10" t="s">
        <v>83</v>
      </c>
      <c r="L18" s="6" t="s">
        <v>119</v>
      </c>
    </row>
    <row r="19" customFormat="1" ht="14" spans="1:12">
      <c r="A19" s="6" t="s">
        <v>121</v>
      </c>
      <c r="B19" s="6" t="s">
        <v>78</v>
      </c>
      <c r="C19" s="10">
        <v>0.75</v>
      </c>
      <c r="D19" s="10" t="s">
        <v>45</v>
      </c>
      <c r="E19" s="10">
        <v>0</v>
      </c>
      <c r="F19" s="10">
        <v>100</v>
      </c>
      <c r="G19" s="10" t="s">
        <v>79</v>
      </c>
      <c r="H19" s="10" t="s">
        <v>80</v>
      </c>
      <c r="I19" s="10" t="s">
        <v>81</v>
      </c>
      <c r="J19" s="10" t="s">
        <v>82</v>
      </c>
      <c r="K19" s="10" t="s">
        <v>83</v>
      </c>
      <c r="L19" s="6" t="s">
        <v>119</v>
      </c>
    </row>
    <row r="20" customFormat="1" ht="14" spans="1:12">
      <c r="A20" s="6" t="s">
        <v>122</v>
      </c>
      <c r="B20" s="6" t="s">
        <v>78</v>
      </c>
      <c r="C20" s="10">
        <v>1.5</v>
      </c>
      <c r="D20" s="10" t="s">
        <v>45</v>
      </c>
      <c r="E20" s="10">
        <v>-5</v>
      </c>
      <c r="F20" s="10">
        <v>5</v>
      </c>
      <c r="G20" s="10" t="s">
        <v>79</v>
      </c>
      <c r="H20" s="10" t="s">
        <v>80</v>
      </c>
      <c r="I20" s="10" t="s">
        <v>81</v>
      </c>
      <c r="J20" s="10" t="s">
        <v>82</v>
      </c>
      <c r="K20" s="10" t="s">
        <v>83</v>
      </c>
      <c r="L20" s="6" t="s">
        <v>119</v>
      </c>
    </row>
    <row r="21" customFormat="1" ht="14" spans="1:12">
      <c r="A21" s="6" t="s">
        <v>123</v>
      </c>
      <c r="B21" s="6" t="s">
        <v>78</v>
      </c>
      <c r="C21" s="10">
        <v>0.95</v>
      </c>
      <c r="D21" s="10" t="s">
        <v>45</v>
      </c>
      <c r="E21" s="10">
        <v>0</v>
      </c>
      <c r="F21" s="10">
        <v>1</v>
      </c>
      <c r="G21" s="10" t="s">
        <v>79</v>
      </c>
      <c r="H21" s="10" t="s">
        <v>80</v>
      </c>
      <c r="I21" s="10" t="s">
        <v>81</v>
      </c>
      <c r="J21" s="10" t="s">
        <v>82</v>
      </c>
      <c r="K21" s="10" t="s">
        <v>83</v>
      </c>
      <c r="L21" s="6" t="s">
        <v>119</v>
      </c>
    </row>
    <row r="22" customFormat="1" ht="14" spans="1:12">
      <c r="A22" s="6" t="s">
        <v>124</v>
      </c>
      <c r="B22" s="6" t="s">
        <v>78</v>
      </c>
      <c r="C22" s="10">
        <v>0</v>
      </c>
      <c r="D22" s="10" t="s">
        <v>45</v>
      </c>
      <c r="E22" s="10">
        <v>-5</v>
      </c>
      <c r="F22" s="10">
        <v>5</v>
      </c>
      <c r="G22" s="10" t="s">
        <v>79</v>
      </c>
      <c r="H22" s="10" t="s">
        <v>80</v>
      </c>
      <c r="I22" s="10" t="s">
        <v>81</v>
      </c>
      <c r="J22" s="10" t="s">
        <v>82</v>
      </c>
      <c r="K22" s="10" t="s">
        <v>83</v>
      </c>
      <c r="L22" s="6" t="s">
        <v>119</v>
      </c>
    </row>
    <row r="23" customFormat="1" ht="14" spans="1:12">
      <c r="A23" s="6" t="s">
        <v>125</v>
      </c>
      <c r="B23" s="6" t="s">
        <v>78</v>
      </c>
      <c r="C23" s="10">
        <v>-0.95</v>
      </c>
      <c r="D23" s="10" t="s">
        <v>45</v>
      </c>
      <c r="E23" s="10">
        <v>-1</v>
      </c>
      <c r="F23" s="10">
        <v>0</v>
      </c>
      <c r="G23" s="10" t="s">
        <v>79</v>
      </c>
      <c r="H23" s="10" t="s">
        <v>80</v>
      </c>
      <c r="I23" s="10" t="s">
        <v>81</v>
      </c>
      <c r="J23" s="10" t="s">
        <v>82</v>
      </c>
      <c r="K23" s="10" t="s">
        <v>83</v>
      </c>
      <c r="L23" s="6" t="s">
        <v>119</v>
      </c>
    </row>
    <row r="24" customFormat="1" ht="14" spans="1:12">
      <c r="A24" s="6" t="s">
        <v>126</v>
      </c>
      <c r="B24" s="6" t="s">
        <v>78</v>
      </c>
      <c r="C24" s="10">
        <v>800</v>
      </c>
      <c r="D24" s="10" t="s">
        <v>45</v>
      </c>
      <c r="E24" s="10">
        <v>0</v>
      </c>
      <c r="F24" s="10">
        <v>1000</v>
      </c>
      <c r="G24" s="10" t="s">
        <v>79</v>
      </c>
      <c r="H24" s="10" t="s">
        <v>80</v>
      </c>
      <c r="I24" s="10" t="s">
        <v>81</v>
      </c>
      <c r="J24" s="10" t="s">
        <v>82</v>
      </c>
      <c r="K24" s="10" t="s">
        <v>83</v>
      </c>
      <c r="L24" s="6" t="s">
        <v>119</v>
      </c>
    </row>
    <row r="25" customFormat="1" ht="14" spans="1:12">
      <c r="A25" s="6" t="s">
        <v>127</v>
      </c>
      <c r="B25" s="6" t="s">
        <v>78</v>
      </c>
      <c r="C25" s="10">
        <v>18</v>
      </c>
      <c r="D25" s="10" t="s">
        <v>45</v>
      </c>
      <c r="E25" s="10">
        <v>0</v>
      </c>
      <c r="F25" s="10">
        <v>1000</v>
      </c>
      <c r="G25" s="10" t="s">
        <v>79</v>
      </c>
      <c r="H25" s="10" t="s">
        <v>80</v>
      </c>
      <c r="I25" s="10" t="s">
        <v>81</v>
      </c>
      <c r="J25" s="10" t="s">
        <v>82</v>
      </c>
      <c r="K25" s="10" t="s">
        <v>83</v>
      </c>
      <c r="L25" s="6" t="s">
        <v>119</v>
      </c>
    </row>
    <row r="26" customFormat="1" ht="14" spans="1:12">
      <c r="A26" s="6" t="s">
        <v>128</v>
      </c>
      <c r="B26" s="6" t="s">
        <v>78</v>
      </c>
      <c r="C26" s="10">
        <v>80</v>
      </c>
      <c r="D26" s="10" t="s">
        <v>45</v>
      </c>
      <c r="E26" s="10">
        <v>0</v>
      </c>
      <c r="F26" s="10">
        <v>500</v>
      </c>
      <c r="G26" s="10" t="s">
        <v>79</v>
      </c>
      <c r="H26" s="10" t="s">
        <v>80</v>
      </c>
      <c r="I26" s="10" t="s">
        <v>81</v>
      </c>
      <c r="J26" s="10" t="s">
        <v>82</v>
      </c>
      <c r="K26" s="10" t="s">
        <v>83</v>
      </c>
      <c r="L26" s="6" t="s">
        <v>119</v>
      </c>
    </row>
    <row r="27" customFormat="1" ht="14" spans="1:12">
      <c r="A27" s="6" t="s">
        <v>129</v>
      </c>
      <c r="B27" s="6" t="s">
        <v>78</v>
      </c>
      <c r="C27" s="10">
        <v>0.5</v>
      </c>
      <c r="D27" s="10" t="s">
        <v>45</v>
      </c>
      <c r="E27" s="10">
        <v>0</v>
      </c>
      <c r="F27" s="10">
        <v>30</v>
      </c>
      <c r="G27" s="10" t="s">
        <v>79</v>
      </c>
      <c r="H27" s="10" t="s">
        <v>80</v>
      </c>
      <c r="I27" s="10" t="s">
        <v>81</v>
      </c>
      <c r="J27" s="10" t="s">
        <v>82</v>
      </c>
      <c r="K27" s="10" t="s">
        <v>83</v>
      </c>
      <c r="L27" s="6" t="s">
        <v>119</v>
      </c>
    </row>
    <row r="28" customFormat="1" ht="14" spans="1:12">
      <c r="A28" s="6" t="s">
        <v>130</v>
      </c>
      <c r="B28" s="6" t="s">
        <v>78</v>
      </c>
      <c r="C28" s="10">
        <v>0.03</v>
      </c>
      <c r="D28" s="10" t="s">
        <v>45</v>
      </c>
      <c r="E28" s="10">
        <v>0</v>
      </c>
      <c r="F28" s="10">
        <v>1</v>
      </c>
      <c r="G28" s="10" t="s">
        <v>79</v>
      </c>
      <c r="H28" s="10" t="s">
        <v>80</v>
      </c>
      <c r="I28" s="10" t="s">
        <v>81</v>
      </c>
      <c r="J28" s="10" t="s">
        <v>82</v>
      </c>
      <c r="K28" s="10" t="s">
        <v>83</v>
      </c>
      <c r="L28" s="6" t="s">
        <v>119</v>
      </c>
    </row>
    <row r="29" customFormat="1" ht="14" spans="1:12">
      <c r="A29" s="6" t="s">
        <v>131</v>
      </c>
      <c r="B29" s="6" t="s">
        <v>78</v>
      </c>
      <c r="C29" s="10">
        <v>1250</v>
      </c>
      <c r="D29" s="10" t="s">
        <v>45</v>
      </c>
      <c r="E29" s="10">
        <v>0</v>
      </c>
      <c r="F29" s="10">
        <v>10000</v>
      </c>
      <c r="G29" s="10" t="s">
        <v>79</v>
      </c>
      <c r="H29" s="10" t="s">
        <v>80</v>
      </c>
      <c r="I29" s="10" t="s">
        <v>81</v>
      </c>
      <c r="J29" s="10" t="s">
        <v>82</v>
      </c>
      <c r="K29" s="10" t="s">
        <v>83</v>
      </c>
      <c r="L29" s="6" t="s">
        <v>119</v>
      </c>
    </row>
    <row r="30" customFormat="1" ht="14" spans="1:12">
      <c r="A30" s="6" t="s">
        <v>132</v>
      </c>
      <c r="B30" s="6" t="s">
        <v>78</v>
      </c>
      <c r="C30" s="10">
        <v>20</v>
      </c>
      <c r="D30" s="10" t="s">
        <v>45</v>
      </c>
      <c r="E30" s="10">
        <v>0</v>
      </c>
      <c r="F30" s="10">
        <v>1000</v>
      </c>
      <c r="G30" s="10" t="s">
        <v>79</v>
      </c>
      <c r="H30" s="10" t="s">
        <v>80</v>
      </c>
      <c r="I30" s="10" t="s">
        <v>81</v>
      </c>
      <c r="J30" s="10" t="s">
        <v>82</v>
      </c>
      <c r="K30" s="10" t="s">
        <v>83</v>
      </c>
      <c r="L30" s="6" t="s">
        <v>119</v>
      </c>
    </row>
    <row r="31" customFormat="1" ht="14" spans="1:12">
      <c r="A31" s="6" t="s">
        <v>133</v>
      </c>
      <c r="B31" s="6" t="s">
        <v>78</v>
      </c>
      <c r="C31" s="10">
        <v>9000</v>
      </c>
      <c r="D31" s="10" t="s">
        <v>45</v>
      </c>
      <c r="E31" s="10">
        <v>0</v>
      </c>
      <c r="F31" s="10">
        <v>10000</v>
      </c>
      <c r="G31" s="10" t="s">
        <v>79</v>
      </c>
      <c r="H31" s="10" t="s">
        <v>80</v>
      </c>
      <c r="I31" s="10" t="s">
        <v>81</v>
      </c>
      <c r="J31" s="10" t="s">
        <v>82</v>
      </c>
      <c r="K31" s="10" t="s">
        <v>83</v>
      </c>
      <c r="L31" s="6" t="s">
        <v>119</v>
      </c>
    </row>
    <row r="32" customFormat="1" ht="14" spans="1:12">
      <c r="A32" s="6" t="s">
        <v>134</v>
      </c>
      <c r="B32" s="6" t="s">
        <v>78</v>
      </c>
      <c r="C32" s="10">
        <v>500</v>
      </c>
      <c r="D32" s="10" t="s">
        <v>45</v>
      </c>
      <c r="E32" s="10">
        <v>0</v>
      </c>
      <c r="F32" s="10">
        <v>10000</v>
      </c>
      <c r="G32" s="10" t="s">
        <v>79</v>
      </c>
      <c r="H32" s="10" t="s">
        <v>80</v>
      </c>
      <c r="I32" s="10" t="s">
        <v>81</v>
      </c>
      <c r="J32" s="10" t="s">
        <v>82</v>
      </c>
      <c r="K32" s="10" t="s">
        <v>83</v>
      </c>
      <c r="L32" s="6" t="s">
        <v>119</v>
      </c>
    </row>
    <row r="33" customFormat="1" ht="14" spans="1:12">
      <c r="A33" s="6" t="s">
        <v>135</v>
      </c>
      <c r="B33" s="6" t="s">
        <v>78</v>
      </c>
      <c r="C33" s="10">
        <v>10000</v>
      </c>
      <c r="D33" s="10" t="s">
        <v>45</v>
      </c>
      <c r="E33" s="10">
        <v>0</v>
      </c>
      <c r="F33" s="10">
        <v>20000</v>
      </c>
      <c r="G33" s="10" t="s">
        <v>79</v>
      </c>
      <c r="H33" s="10" t="s">
        <v>80</v>
      </c>
      <c r="I33" s="10" t="s">
        <v>81</v>
      </c>
      <c r="J33" s="10" t="s">
        <v>82</v>
      </c>
      <c r="K33" s="10" t="s">
        <v>83</v>
      </c>
      <c r="L33" s="6" t="s">
        <v>119</v>
      </c>
    </row>
    <row r="34" customFormat="1" ht="14" spans="1:12">
      <c r="A34" s="6" t="s">
        <v>136</v>
      </c>
      <c r="B34" s="6" t="s">
        <v>78</v>
      </c>
      <c r="C34" s="12">
        <v>0</v>
      </c>
      <c r="D34" s="10" t="s">
        <v>46</v>
      </c>
      <c r="E34" s="10">
        <v>0</v>
      </c>
      <c r="F34" s="10">
        <v>1</v>
      </c>
      <c r="G34" s="10" t="s">
        <v>79</v>
      </c>
      <c r="H34" s="10" t="s">
        <v>80</v>
      </c>
      <c r="I34" s="10" t="s">
        <v>81</v>
      </c>
      <c r="J34" s="10" t="s">
        <v>82</v>
      </c>
      <c r="K34" s="10" t="s">
        <v>83</v>
      </c>
      <c r="L34" s="6" t="s">
        <v>119</v>
      </c>
    </row>
    <row r="35" spans="1:12">
      <c r="A35" s="6" t="s">
        <v>137</v>
      </c>
      <c r="B35" s="6" t="s">
        <v>78</v>
      </c>
      <c r="C35" s="12">
        <v>0.7</v>
      </c>
      <c r="D35" s="10" t="s">
        <v>45</v>
      </c>
      <c r="E35" s="10">
        <v>0</v>
      </c>
      <c r="F35" s="10">
        <v>1</v>
      </c>
      <c r="G35" s="10" t="s">
        <v>79</v>
      </c>
      <c r="H35" s="10" t="s">
        <v>80</v>
      </c>
      <c r="I35" s="10" t="s">
        <v>81</v>
      </c>
      <c r="J35" s="10" t="s">
        <v>82</v>
      </c>
      <c r="K35" s="10" t="s">
        <v>83</v>
      </c>
      <c r="L35" s="6" t="s">
        <v>119</v>
      </c>
    </row>
    <row r="36" spans="1:12">
      <c r="A36" s="6" t="s">
        <v>138</v>
      </c>
      <c r="B36" s="6" t="s">
        <v>78</v>
      </c>
      <c r="C36" s="12">
        <v>0</v>
      </c>
      <c r="D36" s="10" t="s">
        <v>46</v>
      </c>
      <c r="E36" s="10">
        <v>0</v>
      </c>
      <c r="F36" s="10">
        <v>1</v>
      </c>
      <c r="G36" s="10" t="s">
        <v>79</v>
      </c>
      <c r="H36" s="10" t="s">
        <v>80</v>
      </c>
      <c r="I36" s="10" t="s">
        <v>81</v>
      </c>
      <c r="J36" s="10" t="s">
        <v>82</v>
      </c>
      <c r="K36" s="10" t="s">
        <v>83</v>
      </c>
      <c r="L36" s="6" t="s">
        <v>119</v>
      </c>
    </row>
    <row r="37" spans="1:12">
      <c r="A37" s="6" t="s">
        <v>139</v>
      </c>
      <c r="B37" s="6" t="s">
        <v>78</v>
      </c>
      <c r="C37" s="10">
        <v>0.002</v>
      </c>
      <c r="D37" s="10" t="s">
        <v>45</v>
      </c>
      <c r="E37" s="10">
        <v>0</v>
      </c>
      <c r="F37" s="10">
        <v>1</v>
      </c>
      <c r="G37" s="10" t="s">
        <v>79</v>
      </c>
      <c r="H37" s="10" t="s">
        <v>80</v>
      </c>
      <c r="I37" s="10" t="s">
        <v>81</v>
      </c>
      <c r="J37" s="10" t="s">
        <v>82</v>
      </c>
      <c r="K37" s="10" t="s">
        <v>83</v>
      </c>
      <c r="L37" s="6" t="s">
        <v>119</v>
      </c>
    </row>
    <row r="38" spans="1:12">
      <c r="A38" s="6" t="s">
        <v>140</v>
      </c>
      <c r="B38" s="6" t="s">
        <v>78</v>
      </c>
      <c r="C38" s="10">
        <v>0.7</v>
      </c>
      <c r="D38" s="10" t="s">
        <v>45</v>
      </c>
      <c r="E38" s="10">
        <v>0</v>
      </c>
      <c r="F38" s="10">
        <v>1</v>
      </c>
      <c r="G38" s="10" t="s">
        <v>79</v>
      </c>
      <c r="H38" s="10" t="s">
        <v>80</v>
      </c>
      <c r="I38" s="10" t="s">
        <v>81</v>
      </c>
      <c r="J38" s="10" t="s">
        <v>82</v>
      </c>
      <c r="K38" s="10" t="s">
        <v>83</v>
      </c>
      <c r="L38" s="6" t="s">
        <v>119</v>
      </c>
    </row>
    <row r="39" spans="1:12">
      <c r="A39" s="6" t="s">
        <v>141</v>
      </c>
      <c r="B39" s="6" t="s">
        <v>78</v>
      </c>
      <c r="C39" s="12">
        <v>0</v>
      </c>
      <c r="D39" s="10" t="s">
        <v>46</v>
      </c>
      <c r="E39" s="10">
        <v>0</v>
      </c>
      <c r="F39" s="10">
        <v>1</v>
      </c>
      <c r="G39" s="10" t="s">
        <v>79</v>
      </c>
      <c r="H39" s="10" t="s">
        <v>80</v>
      </c>
      <c r="I39" s="10" t="s">
        <v>81</v>
      </c>
      <c r="J39" s="10" t="s">
        <v>82</v>
      </c>
      <c r="K39" s="10" t="s">
        <v>83</v>
      </c>
      <c r="L39" s="6" t="s">
        <v>119</v>
      </c>
    </row>
    <row r="40" spans="1:12">
      <c r="A40" s="6" t="s">
        <v>142</v>
      </c>
      <c r="B40" s="6" t="s">
        <v>78</v>
      </c>
      <c r="C40" s="12">
        <v>5</v>
      </c>
      <c r="D40" s="10" t="s">
        <v>45</v>
      </c>
      <c r="E40" s="10">
        <v>0</v>
      </c>
      <c r="F40" s="10">
        <v>50</v>
      </c>
      <c r="G40" s="10" t="s">
        <v>79</v>
      </c>
      <c r="H40" s="10" t="s">
        <v>80</v>
      </c>
      <c r="I40" s="10" t="s">
        <v>81</v>
      </c>
      <c r="J40" s="10" t="s">
        <v>82</v>
      </c>
      <c r="K40" s="10" t="s">
        <v>83</v>
      </c>
      <c r="L40" s="6" t="s">
        <v>119</v>
      </c>
    </row>
    <row r="41" customFormat="1" ht="14" spans="1:12">
      <c r="A41" s="6" t="s">
        <v>143</v>
      </c>
      <c r="B41" s="6" t="s">
        <v>78</v>
      </c>
      <c r="C41" s="12">
        <v>1</v>
      </c>
      <c r="D41" s="10" t="s">
        <v>46</v>
      </c>
      <c r="E41" s="10">
        <v>0</v>
      </c>
      <c r="F41" s="10">
        <v>1</v>
      </c>
      <c r="G41" s="10" t="s">
        <v>79</v>
      </c>
      <c r="H41" s="10" t="s">
        <v>80</v>
      </c>
      <c r="I41" s="10" t="s">
        <v>81</v>
      </c>
      <c r="J41" s="10" t="s">
        <v>82</v>
      </c>
      <c r="K41" s="10" t="s">
        <v>83</v>
      </c>
      <c r="L41" s="6" t="s">
        <v>119</v>
      </c>
    </row>
    <row r="42" customFormat="1" ht="14" spans="1:12">
      <c r="A42" s="6" t="s">
        <v>144</v>
      </c>
      <c r="B42" s="6" t="s">
        <v>78</v>
      </c>
      <c r="C42" s="12">
        <v>0</v>
      </c>
      <c r="D42" s="10" t="s">
        <v>46</v>
      </c>
      <c r="E42" s="10">
        <v>0</v>
      </c>
      <c r="F42" s="10">
        <v>1</v>
      </c>
      <c r="G42" s="10" t="s">
        <v>79</v>
      </c>
      <c r="H42" s="10" t="s">
        <v>80</v>
      </c>
      <c r="I42" s="10" t="s">
        <v>81</v>
      </c>
      <c r="J42" s="10" t="s">
        <v>82</v>
      </c>
      <c r="K42" s="10" t="s">
        <v>83</v>
      </c>
      <c r="L42" s="6" t="s">
        <v>119</v>
      </c>
    </row>
    <row r="43" customFormat="1" ht="14" spans="1:12">
      <c r="A43" s="6" t="s">
        <v>145</v>
      </c>
      <c r="B43" s="6" t="s">
        <v>78</v>
      </c>
      <c r="C43" s="12">
        <v>0.06</v>
      </c>
      <c r="D43" s="10" t="s">
        <v>45</v>
      </c>
      <c r="E43" s="10">
        <v>0</v>
      </c>
      <c r="F43" s="10">
        <v>0.5</v>
      </c>
      <c r="G43" s="10" t="s">
        <v>79</v>
      </c>
      <c r="H43" s="10" t="s">
        <v>80</v>
      </c>
      <c r="I43" s="10" t="s">
        <v>81</v>
      </c>
      <c r="J43" s="10" t="s">
        <v>82</v>
      </c>
      <c r="K43" s="10" t="s">
        <v>83</v>
      </c>
      <c r="L43" s="6" t="s">
        <v>119</v>
      </c>
    </row>
    <row r="44" customFormat="1" ht="14" spans="1:12">
      <c r="A44" s="6" t="s">
        <v>146</v>
      </c>
      <c r="B44" s="6" t="s">
        <v>78</v>
      </c>
      <c r="C44" s="12">
        <v>1</v>
      </c>
      <c r="D44" s="10" t="s">
        <v>46</v>
      </c>
      <c r="E44" s="10">
        <v>0</v>
      </c>
      <c r="F44" s="10">
        <v>1</v>
      </c>
      <c r="G44" s="10" t="s">
        <v>79</v>
      </c>
      <c r="H44" s="10" t="s">
        <v>80</v>
      </c>
      <c r="I44" s="10" t="s">
        <v>81</v>
      </c>
      <c r="J44" s="10" t="s">
        <v>82</v>
      </c>
      <c r="K44" s="10" t="s">
        <v>83</v>
      </c>
      <c r="L44" s="6" t="s">
        <v>119</v>
      </c>
    </row>
    <row r="45" customFormat="1" ht="14" spans="1:12">
      <c r="A45" s="6" t="s">
        <v>147</v>
      </c>
      <c r="B45" s="6" t="s">
        <v>78</v>
      </c>
      <c r="C45" s="10">
        <v>20</v>
      </c>
      <c r="D45" s="10" t="s">
        <v>45</v>
      </c>
      <c r="E45" s="10">
        <v>0</v>
      </c>
      <c r="F45" s="10">
        <v>1000</v>
      </c>
      <c r="G45" s="10" t="s">
        <v>79</v>
      </c>
      <c r="H45" s="10" t="s">
        <v>80</v>
      </c>
      <c r="I45" s="10" t="s">
        <v>81</v>
      </c>
      <c r="J45" s="10" t="s">
        <v>82</v>
      </c>
      <c r="K45" s="10" t="s">
        <v>83</v>
      </c>
      <c r="L45" s="6" t="s">
        <v>119</v>
      </c>
    </row>
    <row r="46" customFormat="1" ht="14" spans="1:12">
      <c r="A46" s="6" t="s">
        <v>148</v>
      </c>
      <c r="B46" s="6" t="s">
        <v>78</v>
      </c>
      <c r="C46" s="10">
        <v>9000</v>
      </c>
      <c r="D46" s="10" t="s">
        <v>45</v>
      </c>
      <c r="E46" s="10">
        <v>0</v>
      </c>
      <c r="F46" s="10">
        <v>10000</v>
      </c>
      <c r="G46" s="10" t="s">
        <v>79</v>
      </c>
      <c r="H46" s="10" t="s">
        <v>80</v>
      </c>
      <c r="I46" s="10" t="s">
        <v>81</v>
      </c>
      <c r="J46" s="10" t="s">
        <v>82</v>
      </c>
      <c r="K46" s="10" t="s">
        <v>83</v>
      </c>
      <c r="L46" s="6" t="s">
        <v>119</v>
      </c>
    </row>
    <row r="47" customFormat="1" ht="14" spans="1:12">
      <c r="A47" s="6" t="s">
        <v>149</v>
      </c>
      <c r="B47" s="6" t="s">
        <v>78</v>
      </c>
      <c r="C47" s="10">
        <v>200</v>
      </c>
      <c r="D47" s="10" t="s">
        <v>45</v>
      </c>
      <c r="E47" s="10">
        <v>0</v>
      </c>
      <c r="F47" s="10">
        <v>6000</v>
      </c>
      <c r="G47" s="10" t="s">
        <v>79</v>
      </c>
      <c r="H47" s="10" t="s">
        <v>80</v>
      </c>
      <c r="I47" s="10" t="s">
        <v>81</v>
      </c>
      <c r="J47" s="10" t="s">
        <v>82</v>
      </c>
      <c r="K47" s="10" t="s">
        <v>83</v>
      </c>
      <c r="L47" s="6" t="s">
        <v>119</v>
      </c>
    </row>
    <row r="48" customFormat="1" ht="14" spans="1:12">
      <c r="A48" s="6" t="s">
        <v>150</v>
      </c>
      <c r="B48" s="6" t="s">
        <v>78</v>
      </c>
      <c r="C48" s="10">
        <v>600</v>
      </c>
      <c r="D48" s="10" t="s">
        <v>45</v>
      </c>
      <c r="E48" s="10">
        <v>0</v>
      </c>
      <c r="F48" s="10">
        <v>6000</v>
      </c>
      <c r="G48" s="10" t="s">
        <v>79</v>
      </c>
      <c r="H48" s="10" t="s">
        <v>80</v>
      </c>
      <c r="I48" s="10" t="s">
        <v>81</v>
      </c>
      <c r="J48" s="10" t="s">
        <v>82</v>
      </c>
      <c r="K48" s="10" t="s">
        <v>83</v>
      </c>
      <c r="L48" s="6" t="s">
        <v>119</v>
      </c>
    </row>
    <row r="49" s="17" customFormat="1" spans="1:12">
      <c r="A49" s="15" t="s">
        <v>139</v>
      </c>
      <c r="B49" s="15" t="s">
        <v>78</v>
      </c>
      <c r="C49" s="17">
        <v>0.001</v>
      </c>
      <c r="D49" s="17" t="s">
        <v>45</v>
      </c>
      <c r="E49" s="17">
        <v>0</v>
      </c>
      <c r="F49" s="17">
        <v>4000</v>
      </c>
      <c r="G49" s="17" t="s">
        <v>79</v>
      </c>
      <c r="H49" s="17" t="s">
        <v>80</v>
      </c>
      <c r="I49" s="17" t="s">
        <v>81</v>
      </c>
      <c r="J49" s="17" t="s">
        <v>82</v>
      </c>
      <c r="K49" s="17" t="s">
        <v>83</v>
      </c>
      <c r="L49" s="15" t="s">
        <v>119</v>
      </c>
    </row>
    <row r="50" spans="1:12">
      <c r="A50" s="6" t="s">
        <v>151</v>
      </c>
      <c r="B50" s="6" t="s">
        <v>78</v>
      </c>
      <c r="C50" s="10">
        <v>0.01</v>
      </c>
      <c r="D50" s="10" t="s">
        <v>45</v>
      </c>
      <c r="E50" s="10">
        <v>0</v>
      </c>
      <c r="F50" s="10">
        <v>4000</v>
      </c>
      <c r="G50" s="10" t="s">
        <v>79</v>
      </c>
      <c r="H50" s="10" t="s">
        <v>80</v>
      </c>
      <c r="I50" s="10" t="s">
        <v>81</v>
      </c>
      <c r="J50" s="10" t="s">
        <v>82</v>
      </c>
      <c r="K50" s="10" t="s">
        <v>83</v>
      </c>
      <c r="L50" s="6" t="s">
        <v>119</v>
      </c>
    </row>
    <row r="51" spans="1:12">
      <c r="A51" s="6" t="s">
        <v>152</v>
      </c>
      <c r="B51" s="6" t="s">
        <v>78</v>
      </c>
      <c r="C51" s="10">
        <v>6000</v>
      </c>
      <c r="D51" s="10" t="s">
        <v>42</v>
      </c>
      <c r="E51" s="10">
        <v>-32767</v>
      </c>
      <c r="F51" s="10">
        <v>32767</v>
      </c>
      <c r="G51" s="10" t="s">
        <v>79</v>
      </c>
      <c r="H51" s="10" t="s">
        <v>80</v>
      </c>
      <c r="I51" s="10" t="s">
        <v>81</v>
      </c>
      <c r="J51" s="10" t="s">
        <v>82</v>
      </c>
      <c r="K51" s="10" t="s">
        <v>83</v>
      </c>
      <c r="L51" s="6" t="s">
        <v>119</v>
      </c>
    </row>
    <row r="52" spans="1:12">
      <c r="A52" s="6" t="s">
        <v>153</v>
      </c>
      <c r="B52" s="6" t="s">
        <v>78</v>
      </c>
      <c r="C52" s="10">
        <v>100</v>
      </c>
      <c r="D52" s="10" t="s">
        <v>42</v>
      </c>
      <c r="E52" s="10">
        <v>-32767</v>
      </c>
      <c r="F52" s="10">
        <v>32767</v>
      </c>
      <c r="G52" s="10" t="s">
        <v>79</v>
      </c>
      <c r="H52" s="10" t="s">
        <v>80</v>
      </c>
      <c r="I52" s="10" t="s">
        <v>81</v>
      </c>
      <c r="J52" s="10" t="s">
        <v>82</v>
      </c>
      <c r="K52" s="10" t="s">
        <v>83</v>
      </c>
      <c r="L52" s="6" t="s">
        <v>119</v>
      </c>
    </row>
    <row r="53" spans="1:12">
      <c r="A53" s="6" t="s">
        <v>154</v>
      </c>
      <c r="B53" s="6" t="s">
        <v>78</v>
      </c>
      <c r="C53" s="10">
        <v>0.02</v>
      </c>
      <c r="D53" s="10" t="s">
        <v>45</v>
      </c>
      <c r="E53" s="10">
        <v>0</v>
      </c>
      <c r="F53" s="10">
        <v>4000</v>
      </c>
      <c r="G53" s="10" t="s">
        <v>79</v>
      </c>
      <c r="H53" s="10" t="s">
        <v>80</v>
      </c>
      <c r="I53" s="10" t="s">
        <v>81</v>
      </c>
      <c r="J53" s="10" t="s">
        <v>82</v>
      </c>
      <c r="K53" s="10" t="s">
        <v>83</v>
      </c>
      <c r="L53" s="6" t="s">
        <v>119</v>
      </c>
    </row>
    <row r="54" spans="1:12">
      <c r="A54" s="6" t="s">
        <v>155</v>
      </c>
      <c r="B54" s="6" t="s">
        <v>78</v>
      </c>
      <c r="C54" s="10">
        <v>4000</v>
      </c>
      <c r="D54" s="10" t="s">
        <v>42</v>
      </c>
      <c r="E54" s="10">
        <v>-32767</v>
      </c>
      <c r="F54" s="10">
        <v>32767</v>
      </c>
      <c r="G54" s="10" t="s">
        <v>79</v>
      </c>
      <c r="H54" s="10" t="s">
        <v>80</v>
      </c>
      <c r="I54" s="10" t="s">
        <v>81</v>
      </c>
      <c r="J54" s="10" t="s">
        <v>82</v>
      </c>
      <c r="K54" s="10" t="s">
        <v>83</v>
      </c>
      <c r="L54" s="6" t="s">
        <v>119</v>
      </c>
    </row>
    <row r="55" s="14" customFormat="1" ht="14" spans="1:12">
      <c r="A55" s="15" t="s">
        <v>156</v>
      </c>
      <c r="B55" s="15" t="s">
        <v>78</v>
      </c>
      <c r="C55" s="16">
        <v>1</v>
      </c>
      <c r="D55" s="17" t="s">
        <v>45</v>
      </c>
      <c r="E55" s="17">
        <v>0</v>
      </c>
      <c r="F55" s="17">
        <v>1</v>
      </c>
      <c r="G55" s="17" t="s">
        <v>79</v>
      </c>
      <c r="H55" s="17" t="s">
        <v>80</v>
      </c>
      <c r="I55" s="17" t="s">
        <v>81</v>
      </c>
      <c r="J55" s="17" t="s">
        <v>82</v>
      </c>
      <c r="K55" s="17" t="s">
        <v>83</v>
      </c>
      <c r="L55" s="15" t="s">
        <v>119</v>
      </c>
    </row>
  </sheetData>
  <pageMargins left="0.699305555555556" right="0.699305555555556" top="0.75" bottom="0.75" header="0.3" footer="0.3"/>
  <pageSetup paperSize="9" orientation="portrait"/>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3"/>
  <sheetViews>
    <sheetView zoomScale="190" zoomScaleNormal="190" topLeftCell="A15" workbookViewId="0">
      <selection activeCell="A25" sqref="A25"/>
    </sheetView>
  </sheetViews>
  <sheetFormatPr defaultColWidth="8.72727272727273" defaultRowHeight="14"/>
  <cols>
    <col min="1" max="1" width="30.9090909090909" customWidth="1"/>
    <col min="2" max="2" width="10" customWidth="1"/>
    <col min="3" max="3" width="23.5454545454545" customWidth="1"/>
    <col min="9" max="9" width="11.9090909090909" customWidth="1"/>
    <col min="10" max="10" width="15.6363636363636" customWidth="1"/>
    <col min="11" max="11" width="12.3636363636364" customWidth="1"/>
  </cols>
  <sheetData>
    <row r="1" s="4" customFormat="1" ht="11.5" spans="1:12">
      <c r="A1" s="5" t="s">
        <v>69</v>
      </c>
      <c r="B1" s="5" t="s">
        <v>26</v>
      </c>
      <c r="C1" s="4" t="s">
        <v>70</v>
      </c>
      <c r="D1" s="4" t="s">
        <v>71</v>
      </c>
      <c r="E1" s="4" t="s">
        <v>33</v>
      </c>
      <c r="F1" s="4" t="s">
        <v>34</v>
      </c>
      <c r="G1" s="4" t="s">
        <v>72</v>
      </c>
      <c r="H1" s="4" t="s">
        <v>73</v>
      </c>
      <c r="I1" s="4" t="s">
        <v>74</v>
      </c>
      <c r="J1" s="4" t="s">
        <v>75</v>
      </c>
      <c r="K1" s="4" t="s">
        <v>76</v>
      </c>
      <c r="L1" s="5" t="s">
        <v>11</v>
      </c>
    </row>
    <row r="2" spans="1:12">
      <c r="A2" s="6" t="s">
        <v>157</v>
      </c>
      <c r="B2" s="6" t="s">
        <v>78</v>
      </c>
      <c r="C2" s="10">
        <v>10000</v>
      </c>
      <c r="D2" s="10" t="s">
        <v>45</v>
      </c>
      <c r="E2" s="10">
        <v>0</v>
      </c>
      <c r="F2" s="10">
        <v>10000</v>
      </c>
      <c r="G2" s="10" t="s">
        <v>79</v>
      </c>
      <c r="H2" s="10" t="s">
        <v>80</v>
      </c>
      <c r="I2" s="10" t="s">
        <v>81</v>
      </c>
      <c r="J2" s="10" t="s">
        <v>158</v>
      </c>
      <c r="K2" s="10" t="s">
        <v>159</v>
      </c>
      <c r="L2" s="6" t="s">
        <v>119</v>
      </c>
    </row>
    <row r="3" spans="1:12">
      <c r="A3" s="6" t="s">
        <v>160</v>
      </c>
      <c r="B3" s="6" t="s">
        <v>78</v>
      </c>
      <c r="C3" s="10">
        <v>-10000</v>
      </c>
      <c r="D3" s="10" t="s">
        <v>45</v>
      </c>
      <c r="E3" s="10">
        <v>-10000</v>
      </c>
      <c r="F3" s="10">
        <v>0</v>
      </c>
      <c r="G3" s="10" t="s">
        <v>79</v>
      </c>
      <c r="H3" s="10" t="s">
        <v>80</v>
      </c>
      <c r="I3" s="10" t="s">
        <v>81</v>
      </c>
      <c r="J3" s="10" t="s">
        <v>158</v>
      </c>
      <c r="K3" s="10" t="s">
        <v>159</v>
      </c>
      <c r="L3" s="6" t="s">
        <v>119</v>
      </c>
    </row>
    <row r="4" spans="1:12">
      <c r="A4" s="6" t="s">
        <v>161</v>
      </c>
      <c r="B4" s="6" t="s">
        <v>78</v>
      </c>
      <c r="C4" s="10">
        <v>18</v>
      </c>
      <c r="D4" s="10" t="s">
        <v>45</v>
      </c>
      <c r="E4" s="10">
        <v>0</v>
      </c>
      <c r="F4" s="10">
        <v>1000</v>
      </c>
      <c r="G4" s="10" t="s">
        <v>79</v>
      </c>
      <c r="H4" s="10" t="s">
        <v>80</v>
      </c>
      <c r="I4" s="10" t="s">
        <v>81</v>
      </c>
      <c r="J4" s="10" t="s">
        <v>158</v>
      </c>
      <c r="K4" s="10" t="s">
        <v>159</v>
      </c>
      <c r="L4" s="6" t="s">
        <v>119</v>
      </c>
    </row>
    <row r="5" spans="1:12">
      <c r="A5" s="6" t="s">
        <v>162</v>
      </c>
      <c r="B5" s="6" t="s">
        <v>78</v>
      </c>
      <c r="C5" s="10">
        <v>18</v>
      </c>
      <c r="D5" s="10" t="s">
        <v>45</v>
      </c>
      <c r="E5" s="10">
        <v>0</v>
      </c>
      <c r="F5" s="10">
        <v>1000</v>
      </c>
      <c r="G5" s="10" t="s">
        <v>79</v>
      </c>
      <c r="H5" s="10" t="s">
        <v>80</v>
      </c>
      <c r="I5" s="10" t="s">
        <v>81</v>
      </c>
      <c r="J5" s="10" t="s">
        <v>158</v>
      </c>
      <c r="K5" s="10" t="s">
        <v>159</v>
      </c>
      <c r="L5" s="6" t="s">
        <v>119</v>
      </c>
    </row>
    <row r="6" spans="1:12">
      <c r="A6" s="6" t="s">
        <v>163</v>
      </c>
      <c r="B6" s="6" t="s">
        <v>78</v>
      </c>
      <c r="C6" s="10">
        <v>1</v>
      </c>
      <c r="D6" s="10" t="s">
        <v>45</v>
      </c>
      <c r="E6" s="10">
        <v>0</v>
      </c>
      <c r="F6" s="10">
        <v>1</v>
      </c>
      <c r="G6" s="10" t="s">
        <v>79</v>
      </c>
      <c r="H6" s="10" t="s">
        <v>80</v>
      </c>
      <c r="I6" s="10" t="s">
        <v>81</v>
      </c>
      <c r="J6" s="10" t="s">
        <v>158</v>
      </c>
      <c r="K6" s="10" t="s">
        <v>159</v>
      </c>
      <c r="L6" s="6" t="s">
        <v>119</v>
      </c>
    </row>
    <row r="7" spans="1:12">
      <c r="A7" s="6" t="s">
        <v>164</v>
      </c>
      <c r="B7" s="6" t="s">
        <v>78</v>
      </c>
      <c r="C7" s="10">
        <v>1</v>
      </c>
      <c r="D7" s="10" t="s">
        <v>45</v>
      </c>
      <c r="E7" s="10">
        <v>0</v>
      </c>
      <c r="F7" s="10">
        <v>1</v>
      </c>
      <c r="G7" s="10" t="s">
        <v>79</v>
      </c>
      <c r="H7" s="10" t="s">
        <v>80</v>
      </c>
      <c r="I7" s="10" t="s">
        <v>81</v>
      </c>
      <c r="J7" s="10" t="s">
        <v>158</v>
      </c>
      <c r="K7" s="10" t="s">
        <v>159</v>
      </c>
      <c r="L7" s="6" t="s">
        <v>119</v>
      </c>
    </row>
    <row r="8" spans="1:12">
      <c r="A8" s="6" t="s">
        <v>165</v>
      </c>
      <c r="B8" s="6" t="s">
        <v>78</v>
      </c>
      <c r="C8" s="10">
        <v>2.5</v>
      </c>
      <c r="D8" s="10" t="s">
        <v>45</v>
      </c>
      <c r="E8" s="10">
        <v>0</v>
      </c>
      <c r="F8" s="10">
        <v>5</v>
      </c>
      <c r="G8" s="10" t="s">
        <v>79</v>
      </c>
      <c r="H8" s="10" t="s">
        <v>80</v>
      </c>
      <c r="I8" s="10" t="s">
        <v>81</v>
      </c>
      <c r="J8" s="10" t="s">
        <v>158</v>
      </c>
      <c r="K8" s="10" t="s">
        <v>159</v>
      </c>
      <c r="L8" s="6" t="s">
        <v>119</v>
      </c>
    </row>
    <row r="9" spans="1:12">
      <c r="A9" s="6" t="s">
        <v>166</v>
      </c>
      <c r="B9" s="6" t="s">
        <v>78</v>
      </c>
      <c r="C9" s="10">
        <v>0.04</v>
      </c>
      <c r="D9" s="10" t="s">
        <v>45</v>
      </c>
      <c r="E9" s="10">
        <v>0</v>
      </c>
      <c r="F9" s="10">
        <v>1</v>
      </c>
      <c r="G9" s="10" t="s">
        <v>79</v>
      </c>
      <c r="H9" s="10" t="s">
        <v>80</v>
      </c>
      <c r="I9" s="10" t="s">
        <v>81</v>
      </c>
      <c r="J9" s="10" t="s">
        <v>158</v>
      </c>
      <c r="K9" s="10" t="s">
        <v>159</v>
      </c>
      <c r="L9" s="6" t="s">
        <v>119</v>
      </c>
    </row>
    <row r="10" spans="1:12">
      <c r="A10" s="6" t="s">
        <v>167</v>
      </c>
      <c r="B10" s="6" t="s">
        <v>78</v>
      </c>
      <c r="C10" s="10">
        <v>3.5</v>
      </c>
      <c r="D10" s="10" t="s">
        <v>45</v>
      </c>
      <c r="E10" s="10">
        <v>0</v>
      </c>
      <c r="F10" s="10">
        <v>5</v>
      </c>
      <c r="G10" s="10" t="s">
        <v>79</v>
      </c>
      <c r="H10" s="10" t="s">
        <v>80</v>
      </c>
      <c r="I10" s="10" t="s">
        <v>81</v>
      </c>
      <c r="J10" s="10" t="s">
        <v>158</v>
      </c>
      <c r="K10" s="10" t="s">
        <v>159</v>
      </c>
      <c r="L10" s="6" t="s">
        <v>119</v>
      </c>
    </row>
    <row r="11" spans="1:12">
      <c r="A11" s="6" t="s">
        <v>168</v>
      </c>
      <c r="B11" s="6" t="s">
        <v>78</v>
      </c>
      <c r="C11" s="10">
        <v>0.02</v>
      </c>
      <c r="D11" s="10" t="s">
        <v>45</v>
      </c>
      <c r="E11" s="10">
        <v>0</v>
      </c>
      <c r="F11" s="10">
        <v>1</v>
      </c>
      <c r="G11" s="10" t="s">
        <v>79</v>
      </c>
      <c r="H11" s="10" t="s">
        <v>80</v>
      </c>
      <c r="I11" s="10" t="s">
        <v>81</v>
      </c>
      <c r="J11" s="10" t="s">
        <v>158</v>
      </c>
      <c r="K11" s="10" t="s">
        <v>159</v>
      </c>
      <c r="L11" s="6" t="s">
        <v>119</v>
      </c>
    </row>
    <row r="12" spans="1:12">
      <c r="A12" s="6" t="s">
        <v>169</v>
      </c>
      <c r="B12" s="6" t="s">
        <v>78</v>
      </c>
      <c r="C12" s="10">
        <v>1000</v>
      </c>
      <c r="D12" s="10" t="s">
        <v>45</v>
      </c>
      <c r="E12" s="10">
        <v>0</v>
      </c>
      <c r="F12" s="10">
        <v>6000</v>
      </c>
      <c r="G12" s="10" t="s">
        <v>79</v>
      </c>
      <c r="H12" s="10" t="s">
        <v>80</v>
      </c>
      <c r="I12" s="10" t="s">
        <v>81</v>
      </c>
      <c r="J12" s="10" t="s">
        <v>158</v>
      </c>
      <c r="K12" s="10" t="s">
        <v>159</v>
      </c>
      <c r="L12" s="6" t="s">
        <v>119</v>
      </c>
    </row>
    <row r="13" spans="1:12">
      <c r="A13" s="6" t="s">
        <v>170</v>
      </c>
      <c r="B13" s="6" t="s">
        <v>78</v>
      </c>
      <c r="C13" s="10">
        <v>1500</v>
      </c>
      <c r="D13" s="10" t="s">
        <v>45</v>
      </c>
      <c r="E13" s="10">
        <v>0</v>
      </c>
      <c r="F13" s="10">
        <v>6000</v>
      </c>
      <c r="G13" s="10" t="s">
        <v>79</v>
      </c>
      <c r="H13" s="10" t="s">
        <v>80</v>
      </c>
      <c r="I13" s="10" t="s">
        <v>81</v>
      </c>
      <c r="J13" s="10" t="s">
        <v>158</v>
      </c>
      <c r="K13" s="10" t="s">
        <v>159</v>
      </c>
      <c r="L13" s="6" t="s">
        <v>119</v>
      </c>
    </row>
    <row r="14" spans="1:12">
      <c r="A14" s="6" t="s">
        <v>171</v>
      </c>
      <c r="B14" s="6" t="s">
        <v>78</v>
      </c>
      <c r="C14" s="12">
        <v>0</v>
      </c>
      <c r="D14" s="10" t="s">
        <v>46</v>
      </c>
      <c r="E14" s="10">
        <v>0</v>
      </c>
      <c r="F14" s="10">
        <v>1</v>
      </c>
      <c r="G14" s="10" t="s">
        <v>79</v>
      </c>
      <c r="H14" s="10" t="s">
        <v>80</v>
      </c>
      <c r="I14" s="10" t="s">
        <v>81</v>
      </c>
      <c r="J14" s="10" t="s">
        <v>158</v>
      </c>
      <c r="K14" s="10" t="s">
        <v>159</v>
      </c>
      <c r="L14" s="6" t="s">
        <v>119</v>
      </c>
    </row>
    <row r="15" spans="1:12">
      <c r="A15" s="6" t="s">
        <v>172</v>
      </c>
      <c r="B15" s="6" t="s">
        <v>78</v>
      </c>
      <c r="C15" s="12">
        <v>0</v>
      </c>
      <c r="D15" s="10" t="s">
        <v>46</v>
      </c>
      <c r="E15" s="10">
        <v>0</v>
      </c>
      <c r="F15" s="10">
        <v>1</v>
      </c>
      <c r="G15" s="10" t="s">
        <v>79</v>
      </c>
      <c r="H15" s="10" t="s">
        <v>80</v>
      </c>
      <c r="I15" s="10" t="s">
        <v>81</v>
      </c>
      <c r="J15" s="10" t="s">
        <v>158</v>
      </c>
      <c r="K15" s="10" t="s">
        <v>159</v>
      </c>
      <c r="L15" s="6" t="s">
        <v>119</v>
      </c>
    </row>
    <row r="16" spans="1:12">
      <c r="A16" s="6" t="s">
        <v>173</v>
      </c>
      <c r="B16" s="6" t="s">
        <v>78</v>
      </c>
      <c r="C16" s="12">
        <v>0</v>
      </c>
      <c r="D16" s="10" t="s">
        <v>46</v>
      </c>
      <c r="E16" s="10">
        <v>0</v>
      </c>
      <c r="F16" s="10">
        <v>1</v>
      </c>
      <c r="G16" s="10" t="s">
        <v>79</v>
      </c>
      <c r="H16" s="10" t="s">
        <v>80</v>
      </c>
      <c r="I16" s="10" t="s">
        <v>81</v>
      </c>
      <c r="J16" s="10" t="s">
        <v>158</v>
      </c>
      <c r="K16" s="10" t="s">
        <v>159</v>
      </c>
      <c r="L16" s="6" t="s">
        <v>119</v>
      </c>
    </row>
    <row r="17" s="14" customFormat="1" spans="1:12">
      <c r="A17" s="15" t="s">
        <v>174</v>
      </c>
      <c r="B17" s="15" t="s">
        <v>78</v>
      </c>
      <c r="C17" s="16">
        <v>1</v>
      </c>
      <c r="D17" s="17" t="s">
        <v>45</v>
      </c>
      <c r="E17" s="17">
        <v>-10000</v>
      </c>
      <c r="F17" s="17">
        <v>10000</v>
      </c>
      <c r="G17" s="17" t="s">
        <v>79</v>
      </c>
      <c r="H17" s="17" t="s">
        <v>80</v>
      </c>
      <c r="I17" s="17" t="s">
        <v>81</v>
      </c>
      <c r="J17" s="10" t="s">
        <v>175</v>
      </c>
      <c r="K17" s="10" t="s">
        <v>176</v>
      </c>
      <c r="L17" s="15" t="s">
        <v>119</v>
      </c>
    </row>
    <row r="18" s="14" customFormat="1" spans="1:12">
      <c r="A18" s="15" t="s">
        <v>177</v>
      </c>
      <c r="B18" s="15" t="s">
        <v>78</v>
      </c>
      <c r="C18" s="16">
        <v>2.04</v>
      </c>
      <c r="D18" s="17" t="s">
        <v>45</v>
      </c>
      <c r="E18" s="17">
        <v>-10000</v>
      </c>
      <c r="F18" s="17">
        <v>10000</v>
      </c>
      <c r="G18" s="17" t="s">
        <v>79</v>
      </c>
      <c r="H18" s="17" t="s">
        <v>80</v>
      </c>
      <c r="I18" s="17" t="s">
        <v>81</v>
      </c>
      <c r="J18" s="10" t="s">
        <v>175</v>
      </c>
      <c r="K18" s="10" t="s">
        <v>176</v>
      </c>
      <c r="L18" s="15" t="s">
        <v>119</v>
      </c>
    </row>
    <row r="19" s="14" customFormat="1" spans="1:12">
      <c r="A19" s="15" t="s">
        <v>178</v>
      </c>
      <c r="B19" s="15" t="s">
        <v>78</v>
      </c>
      <c r="C19" s="16">
        <v>0</v>
      </c>
      <c r="D19" s="17" t="s">
        <v>45</v>
      </c>
      <c r="E19" s="17">
        <v>-10000</v>
      </c>
      <c r="F19" s="17">
        <v>10000</v>
      </c>
      <c r="G19" s="17" t="s">
        <v>79</v>
      </c>
      <c r="H19" s="17" t="s">
        <v>80</v>
      </c>
      <c r="I19" s="17" t="s">
        <v>81</v>
      </c>
      <c r="J19" s="10" t="s">
        <v>175</v>
      </c>
      <c r="K19" s="10" t="s">
        <v>176</v>
      </c>
      <c r="L19" s="15" t="s">
        <v>119</v>
      </c>
    </row>
    <row r="20" customFormat="1" spans="1:12">
      <c r="A20" s="6" t="s">
        <v>179</v>
      </c>
      <c r="B20" s="6" t="s">
        <v>78</v>
      </c>
      <c r="C20" s="10">
        <v>16000</v>
      </c>
      <c r="D20" s="10" t="s">
        <v>45</v>
      </c>
      <c r="E20" s="10">
        <v>0</v>
      </c>
      <c r="F20" s="10">
        <v>20000</v>
      </c>
      <c r="G20" s="10" t="s">
        <v>79</v>
      </c>
      <c r="H20" s="10" t="s">
        <v>80</v>
      </c>
      <c r="I20" s="10" t="s">
        <v>81</v>
      </c>
      <c r="J20" s="10" t="s">
        <v>175</v>
      </c>
      <c r="K20" s="10" t="s">
        <v>176</v>
      </c>
      <c r="L20" s="6" t="s">
        <v>119</v>
      </c>
    </row>
    <row r="21" customFormat="1" spans="1:12">
      <c r="A21" s="6" t="s">
        <v>180</v>
      </c>
      <c r="B21" s="6" t="s">
        <v>78</v>
      </c>
      <c r="C21" s="10">
        <v>1</v>
      </c>
      <c r="D21" s="10" t="s">
        <v>46</v>
      </c>
      <c r="E21" s="10">
        <v>0</v>
      </c>
      <c r="F21" s="10">
        <v>1</v>
      </c>
      <c r="G21" s="10" t="s">
        <v>79</v>
      </c>
      <c r="H21" s="10" t="s">
        <v>80</v>
      </c>
      <c r="I21" s="10" t="s">
        <v>81</v>
      </c>
      <c r="J21" s="10" t="s">
        <v>175</v>
      </c>
      <c r="K21" s="10" t="s">
        <v>176</v>
      </c>
      <c r="L21" s="6" t="s">
        <v>119</v>
      </c>
    </row>
    <row r="22" customFormat="1" spans="1:12">
      <c r="A22" s="6" t="s">
        <v>181</v>
      </c>
      <c r="B22" s="6" t="s">
        <v>78</v>
      </c>
      <c r="C22" s="10">
        <v>1</v>
      </c>
      <c r="D22" s="10" t="s">
        <v>46</v>
      </c>
      <c r="E22" s="10">
        <v>0</v>
      </c>
      <c r="F22" s="10">
        <v>1</v>
      </c>
      <c r="G22" s="10" t="s">
        <v>79</v>
      </c>
      <c r="H22" s="10" t="s">
        <v>80</v>
      </c>
      <c r="I22" s="10" t="s">
        <v>81</v>
      </c>
      <c r="J22" s="10" t="s">
        <v>175</v>
      </c>
      <c r="K22" s="10" t="s">
        <v>176</v>
      </c>
      <c r="L22" s="6" t="s">
        <v>119</v>
      </c>
    </row>
    <row r="23" customFormat="1" spans="1:12">
      <c r="A23" s="6" t="s">
        <v>182</v>
      </c>
      <c r="B23" s="6" t="s">
        <v>78</v>
      </c>
      <c r="C23" s="10">
        <v>1</v>
      </c>
      <c r="D23" s="10" t="s">
        <v>46</v>
      </c>
      <c r="E23" s="10">
        <v>0</v>
      </c>
      <c r="F23" s="10">
        <v>1</v>
      </c>
      <c r="G23" s="10" t="s">
        <v>79</v>
      </c>
      <c r="H23" s="10" t="s">
        <v>80</v>
      </c>
      <c r="I23" s="10" t="s">
        <v>81</v>
      </c>
      <c r="J23" s="10" t="s">
        <v>175</v>
      </c>
      <c r="K23" s="10" t="s">
        <v>176</v>
      </c>
      <c r="L23" s="6" t="s">
        <v>119</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3"/>
  <sheetViews>
    <sheetView tabSelected="1" zoomScale="115" zoomScaleNormal="115" workbookViewId="0">
      <pane xSplit="1" ySplit="1" topLeftCell="B2" activePane="bottomRight" state="frozen"/>
      <selection/>
      <selection pane="topRight"/>
      <selection pane="bottomLeft"/>
      <selection pane="bottomRight" activeCell="A2" sqref="A2"/>
    </sheetView>
  </sheetViews>
  <sheetFormatPr defaultColWidth="9" defaultRowHeight="14" outlineLevelRow="2"/>
  <cols>
    <col min="1" max="1" width="22.1363636363636" customWidth="1"/>
    <col min="2" max="2" width="8.12727272727273" customWidth="1"/>
    <col min="3" max="3" width="7.5" customWidth="1"/>
    <col min="4" max="4" width="24.2545454545455" customWidth="1"/>
    <col min="5" max="5" width="12" customWidth="1"/>
    <col min="6" max="8" width="8.25454545454545" customWidth="1"/>
    <col min="9" max="9" width="19.8727272727273" customWidth="1"/>
    <col min="10" max="10" width="12" customWidth="1"/>
    <col min="11" max="13" width="8.25454545454545" customWidth="1"/>
    <col min="14" max="14" width="19.8727272727273" customWidth="1"/>
    <col min="15" max="15" width="12" customWidth="1"/>
    <col min="16" max="18" width="8.25454545454545" customWidth="1"/>
    <col min="19" max="19" width="41.8727272727273" customWidth="1"/>
  </cols>
  <sheetData>
    <row r="1" s="4" customFormat="1" ht="11.5" spans="1:21">
      <c r="A1" s="5" t="s">
        <v>69</v>
      </c>
      <c r="B1" s="5" t="s">
        <v>26</v>
      </c>
      <c r="C1" s="4" t="s">
        <v>183</v>
      </c>
      <c r="D1" s="4" t="s">
        <v>184</v>
      </c>
      <c r="E1" s="4" t="s">
        <v>71</v>
      </c>
      <c r="F1" s="4" t="s">
        <v>185</v>
      </c>
      <c r="G1" s="4" t="s">
        <v>34</v>
      </c>
      <c r="H1" s="4" t="s">
        <v>186</v>
      </c>
      <c r="I1" s="4" t="s">
        <v>187</v>
      </c>
      <c r="J1" s="4" t="s">
        <v>71</v>
      </c>
      <c r="K1" s="4" t="s">
        <v>185</v>
      </c>
      <c r="L1" s="4" t="s">
        <v>34</v>
      </c>
      <c r="M1" s="4" t="s">
        <v>186</v>
      </c>
      <c r="N1" s="4" t="s">
        <v>188</v>
      </c>
      <c r="O1" s="4" t="s">
        <v>71</v>
      </c>
      <c r="P1" s="4" t="s">
        <v>185</v>
      </c>
      <c r="Q1" s="4" t="s">
        <v>34</v>
      </c>
      <c r="R1" s="4" t="s">
        <v>186</v>
      </c>
      <c r="S1" s="5" t="s">
        <v>11</v>
      </c>
      <c r="U1" s="4" t="s">
        <v>189</v>
      </c>
    </row>
    <row r="2" s="10" customFormat="1" ht="184" spans="1:19">
      <c r="A2" s="6" t="s">
        <v>190</v>
      </c>
      <c r="B2" s="6" t="s">
        <v>78</v>
      </c>
      <c r="C2" s="10">
        <v>1</v>
      </c>
      <c r="D2" s="13" t="s">
        <v>191</v>
      </c>
      <c r="E2" s="10" t="s">
        <v>45</v>
      </c>
      <c r="F2" s="10">
        <v>0</v>
      </c>
      <c r="G2" s="10">
        <v>0.9</v>
      </c>
      <c r="H2" s="10" t="s">
        <v>79</v>
      </c>
      <c r="I2" s="13" t="s">
        <v>192</v>
      </c>
      <c r="J2" s="10" t="s">
        <v>45</v>
      </c>
      <c r="K2" s="10">
        <v>0</v>
      </c>
      <c r="L2" s="10">
        <v>7000</v>
      </c>
      <c r="M2" s="10" t="s">
        <v>99</v>
      </c>
      <c r="S2" s="6" t="s">
        <v>193</v>
      </c>
    </row>
    <row r="3" s="10" customFormat="1" ht="391" spans="1:19">
      <c r="A3" s="6" t="s">
        <v>194</v>
      </c>
      <c r="B3" s="6" t="s">
        <v>78</v>
      </c>
      <c r="C3" s="10">
        <v>1</v>
      </c>
      <c r="D3" s="13" t="s">
        <v>195</v>
      </c>
      <c r="E3" s="10" t="s">
        <v>45</v>
      </c>
      <c r="F3" s="10">
        <v>-1.4</v>
      </c>
      <c r="G3" s="10">
        <v>0</v>
      </c>
      <c r="H3" s="10" t="s">
        <v>79</v>
      </c>
      <c r="I3" s="13" t="s">
        <v>196</v>
      </c>
      <c r="J3" s="10" t="s">
        <v>45</v>
      </c>
      <c r="K3" s="10">
        <v>-7000</v>
      </c>
      <c r="L3" s="10">
        <v>7000</v>
      </c>
      <c r="M3" s="10" t="s">
        <v>99</v>
      </c>
      <c r="S3" s="6" t="s">
        <v>193</v>
      </c>
    </row>
  </sheetData>
  <dataValidations count="6">
    <dataValidation type="list" allowBlank="1" showInputMessage="1" showErrorMessage="1" sqref="B1 B4:B1048576">
      <formula1>Comment!$B$9</formula1>
    </dataValidation>
    <dataValidation type="list" allowBlank="1" showInputMessage="1" showErrorMessage="1" sqref="J2 O2 J3 O3">
      <formula1>$A$2:$A$13</formula1>
    </dataValidation>
    <dataValidation type="list" allowBlank="1" showInputMessage="1" showErrorMessage="1" sqref="E2 E3">
      <formula1>[3]DataTypeDefinition!#REF!</formula1>
    </dataValidation>
    <dataValidation type="list" allowBlank="1" showInputMessage="1" showErrorMessage="1" sqref="B2 B3">
      <formula1>[3]Comment!#REF!</formula1>
    </dataValidation>
    <dataValidation type="list" allowBlank="1" showInputMessage="1" showErrorMessage="1" sqref="J1 O1 J4:J1048576 O4:O1048576">
      <formula1>#REF!</formula1>
    </dataValidation>
    <dataValidation type="list" allowBlank="1" showInputMessage="1" showErrorMessage="1" sqref="E1 E4:E1048576">
      <formula1>DataTypeDefinition!$A$2:$A$50</formula1>
    </dataValidation>
  </dataValidations>
  <pageMargins left="0.699305555555556" right="0.699305555555556" top="0.75" bottom="0.75" header="0.3" footer="0.3"/>
  <pageSetup paperSize="9" orientation="portrait"/>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73"/>
  <sheetViews>
    <sheetView workbookViewId="0">
      <pane ySplit="1" topLeftCell="A151" activePane="bottomLeft" state="frozen"/>
      <selection/>
      <selection pane="bottomLeft" activeCell="B175" sqref="B175"/>
    </sheetView>
  </sheetViews>
  <sheetFormatPr defaultColWidth="9" defaultRowHeight="11.5"/>
  <cols>
    <col min="1" max="1" width="23" style="6" customWidth="1"/>
    <col min="2" max="2" width="12.1272727272727" style="6" customWidth="1"/>
    <col min="3" max="3" width="16.6272727272727" style="6" customWidth="1"/>
    <col min="4" max="4" width="8.62727272727273" style="10" customWidth="1"/>
    <col min="5" max="5" width="9.25454545454545" style="10" customWidth="1"/>
    <col min="6" max="6" width="7.5" style="10" customWidth="1"/>
    <col min="7" max="7" width="9.37272727272727" style="10" customWidth="1"/>
    <col min="8" max="8" width="7.37272727272727" style="10" customWidth="1"/>
    <col min="9" max="9" width="8.12727272727273" style="10" customWidth="1"/>
    <col min="10" max="10" width="7.37272727272727" style="10" customWidth="1"/>
    <col min="11" max="11" width="8.87272727272727" style="10" customWidth="1"/>
    <col min="12" max="12" width="4.62727272727273" style="10" customWidth="1"/>
    <col min="13" max="13" width="12.1272727272727" style="6" customWidth="1"/>
    <col min="14" max="14" width="35.2545454545455" style="6" customWidth="1"/>
    <col min="15" max="16384" width="9" style="10"/>
  </cols>
  <sheetData>
    <row r="1" s="4" customFormat="1" spans="1:15">
      <c r="A1" s="5" t="s">
        <v>69</v>
      </c>
      <c r="B1" s="5" t="s">
        <v>26</v>
      </c>
      <c r="C1" s="4" t="s">
        <v>71</v>
      </c>
      <c r="D1" s="4" t="s">
        <v>197</v>
      </c>
      <c r="E1" s="4" t="s">
        <v>198</v>
      </c>
      <c r="F1" s="4" t="s">
        <v>199</v>
      </c>
      <c r="G1" s="4" t="s">
        <v>200</v>
      </c>
      <c r="H1" s="4" t="s">
        <v>199</v>
      </c>
      <c r="I1" s="4" t="s">
        <v>33</v>
      </c>
      <c r="J1" s="4" t="s">
        <v>34</v>
      </c>
      <c r="K1" s="4" t="s">
        <v>201</v>
      </c>
      <c r="L1" s="4" t="s">
        <v>72</v>
      </c>
      <c r="M1" s="5" t="s">
        <v>73</v>
      </c>
      <c r="N1" s="5" t="s">
        <v>11</v>
      </c>
      <c r="O1" s="4" t="s">
        <v>202</v>
      </c>
    </row>
    <row r="2" spans="1:15">
      <c r="A2" s="6" t="s">
        <v>203</v>
      </c>
      <c r="B2" s="6" t="s">
        <v>204</v>
      </c>
      <c r="C2" s="6" t="s">
        <v>45</v>
      </c>
      <c r="D2" s="10" t="s">
        <v>205</v>
      </c>
      <c r="E2" s="10">
        <v>1</v>
      </c>
      <c r="F2" s="10" t="s">
        <v>206</v>
      </c>
      <c r="G2" s="10">
        <v>-1</v>
      </c>
      <c r="H2" s="10" t="s">
        <v>206</v>
      </c>
      <c r="I2" s="10">
        <v>-1.1</v>
      </c>
      <c r="J2" s="10">
        <v>1.1</v>
      </c>
      <c r="K2" s="10">
        <v>0</v>
      </c>
      <c r="L2" s="10" t="s">
        <v>207</v>
      </c>
      <c r="M2" s="6" t="s">
        <v>208</v>
      </c>
      <c r="N2" s="6" t="s">
        <v>209</v>
      </c>
      <c r="O2" s="10" t="str">
        <f t="shared" ref="O2:O8" si="0">MID(A2,1,3)</f>
        <v>SAQ</v>
      </c>
    </row>
    <row r="3" spans="1:15">
      <c r="A3" s="6" t="s">
        <v>210</v>
      </c>
      <c r="B3" s="6" t="s">
        <v>204</v>
      </c>
      <c r="C3" s="6" t="s">
        <v>45</v>
      </c>
      <c r="D3" s="10" t="s">
        <v>205</v>
      </c>
      <c r="E3" s="10">
        <v>1</v>
      </c>
      <c r="F3" s="10" t="s">
        <v>206</v>
      </c>
      <c r="G3" s="10">
        <v>-1</v>
      </c>
      <c r="H3" s="10" t="s">
        <v>206</v>
      </c>
      <c r="I3" s="10">
        <v>-1.1</v>
      </c>
      <c r="J3" s="10">
        <v>1.1</v>
      </c>
      <c r="K3" s="10">
        <v>0</v>
      </c>
      <c r="L3" s="10" t="s">
        <v>207</v>
      </c>
      <c r="M3" s="6" t="s">
        <v>208</v>
      </c>
      <c r="N3" s="6" t="s">
        <v>211</v>
      </c>
      <c r="O3" s="10" t="str">
        <f t="shared" si="0"/>
        <v>SAQ</v>
      </c>
    </row>
    <row r="4" spans="1:15">
      <c r="A4" s="6" t="s">
        <v>212</v>
      </c>
      <c r="B4" s="6" t="s">
        <v>204</v>
      </c>
      <c r="C4" s="6" t="s">
        <v>45</v>
      </c>
      <c r="D4" s="10" t="s">
        <v>205</v>
      </c>
      <c r="E4" s="10">
        <v>1</v>
      </c>
      <c r="F4" s="10" t="s">
        <v>206</v>
      </c>
      <c r="G4" s="10">
        <v>-1</v>
      </c>
      <c r="H4" s="10" t="s">
        <v>206</v>
      </c>
      <c r="I4" s="10">
        <v>-1.1</v>
      </c>
      <c r="J4" s="10">
        <v>1.1</v>
      </c>
      <c r="K4" s="10">
        <v>0</v>
      </c>
      <c r="L4" s="10" t="s">
        <v>207</v>
      </c>
      <c r="M4" s="6" t="s">
        <v>208</v>
      </c>
      <c r="N4" s="6" t="s">
        <v>213</v>
      </c>
      <c r="O4" s="10" t="str">
        <f t="shared" si="0"/>
        <v>SAQ</v>
      </c>
    </row>
    <row r="5" spans="1:15">
      <c r="A5" s="6" t="s">
        <v>214</v>
      </c>
      <c r="B5" s="6" t="s">
        <v>204</v>
      </c>
      <c r="C5" s="6" t="s">
        <v>45</v>
      </c>
      <c r="D5" s="10" t="s">
        <v>205</v>
      </c>
      <c r="E5" s="10">
        <v>1</v>
      </c>
      <c r="F5" s="10" t="s">
        <v>206</v>
      </c>
      <c r="G5" s="10">
        <v>-1</v>
      </c>
      <c r="H5" s="10" t="s">
        <v>206</v>
      </c>
      <c r="I5" s="10">
        <v>-20000</v>
      </c>
      <c r="J5" s="10">
        <v>20000</v>
      </c>
      <c r="K5" s="10">
        <v>0</v>
      </c>
      <c r="L5" s="10" t="s">
        <v>215</v>
      </c>
      <c r="M5" s="6" t="s">
        <v>208</v>
      </c>
      <c r="N5" s="6" t="s">
        <v>216</v>
      </c>
      <c r="O5" s="10" t="str">
        <f t="shared" si="0"/>
        <v>COM</v>
      </c>
    </row>
    <row r="6" spans="1:15">
      <c r="A6" s="11" t="s">
        <v>217</v>
      </c>
      <c r="B6" s="11" t="s">
        <v>204</v>
      </c>
      <c r="C6" s="11" t="s">
        <v>218</v>
      </c>
      <c r="D6" s="12" t="s">
        <v>205</v>
      </c>
      <c r="E6" s="12">
        <v>1</v>
      </c>
      <c r="F6" s="12" t="s">
        <v>206</v>
      </c>
      <c r="G6" s="12">
        <v>-1</v>
      </c>
      <c r="H6" s="12" t="s">
        <v>206</v>
      </c>
      <c r="I6" s="12" t="s">
        <v>219</v>
      </c>
      <c r="J6" s="12" t="s">
        <v>219</v>
      </c>
      <c r="K6" s="12" t="s">
        <v>220</v>
      </c>
      <c r="L6" s="12" t="s">
        <v>79</v>
      </c>
      <c r="M6" s="11" t="s">
        <v>208</v>
      </c>
      <c r="N6" s="11" t="s">
        <v>221</v>
      </c>
      <c r="O6" s="10" t="str">
        <f t="shared" si="0"/>
        <v>COM</v>
      </c>
    </row>
    <row r="7" spans="1:15">
      <c r="A7" s="6" t="s">
        <v>222</v>
      </c>
      <c r="B7" s="6" t="s">
        <v>204</v>
      </c>
      <c r="C7" s="6" t="s">
        <v>45</v>
      </c>
      <c r="D7" s="10" t="s">
        <v>205</v>
      </c>
      <c r="E7" s="10">
        <v>1</v>
      </c>
      <c r="F7" s="10" t="s">
        <v>206</v>
      </c>
      <c r="G7" s="10">
        <v>-1</v>
      </c>
      <c r="H7" s="10" t="s">
        <v>206</v>
      </c>
      <c r="I7" s="10">
        <v>-1000</v>
      </c>
      <c r="J7" s="10">
        <v>1000</v>
      </c>
      <c r="K7" s="10">
        <v>0</v>
      </c>
      <c r="L7" s="10" t="s">
        <v>92</v>
      </c>
      <c r="M7" s="6" t="s">
        <v>208</v>
      </c>
      <c r="N7" s="6" t="s">
        <v>223</v>
      </c>
      <c r="O7" s="10" t="str">
        <f t="shared" si="0"/>
        <v>COM</v>
      </c>
    </row>
    <row r="8" spans="1:15">
      <c r="A8" s="6" t="s">
        <v>224</v>
      </c>
      <c r="B8" s="6" t="s">
        <v>204</v>
      </c>
      <c r="C8" s="6" t="s">
        <v>45</v>
      </c>
      <c r="D8" s="10" t="s">
        <v>205</v>
      </c>
      <c r="E8" s="10">
        <v>1</v>
      </c>
      <c r="F8" s="10" t="s">
        <v>206</v>
      </c>
      <c r="G8" s="10">
        <v>-1</v>
      </c>
      <c r="H8" s="10" t="s">
        <v>206</v>
      </c>
      <c r="I8" s="10">
        <v>-512</v>
      </c>
      <c r="J8" s="10">
        <v>512</v>
      </c>
      <c r="K8" s="10">
        <v>0</v>
      </c>
      <c r="L8" s="10" t="s">
        <v>92</v>
      </c>
      <c r="M8" s="6" t="s">
        <v>208</v>
      </c>
      <c r="N8" s="6" t="s">
        <v>225</v>
      </c>
      <c r="O8" s="10" t="str">
        <f t="shared" si="0"/>
        <v>COM</v>
      </c>
    </row>
    <row r="9" spans="1:15">
      <c r="A9" s="6" t="s">
        <v>226</v>
      </c>
      <c r="B9" s="6" t="s">
        <v>204</v>
      </c>
      <c r="C9" s="6" t="s">
        <v>45</v>
      </c>
      <c r="D9" s="10" t="s">
        <v>205</v>
      </c>
      <c r="E9" s="10">
        <v>1</v>
      </c>
      <c r="F9" s="10" t="s">
        <v>206</v>
      </c>
      <c r="G9" s="10">
        <v>-1</v>
      </c>
      <c r="H9" s="10" t="s">
        <v>206</v>
      </c>
      <c r="I9" s="10">
        <v>-1000</v>
      </c>
      <c r="J9" s="10">
        <v>1000</v>
      </c>
      <c r="K9" s="10">
        <v>0</v>
      </c>
      <c r="L9" s="10" t="s">
        <v>99</v>
      </c>
      <c r="M9" s="6" t="s">
        <v>208</v>
      </c>
      <c r="N9" s="6" t="s">
        <v>227</v>
      </c>
      <c r="O9" s="10" t="str">
        <f t="shared" ref="O9:O39" si="1">MID(A9,1,3)</f>
        <v>ISP</v>
      </c>
    </row>
    <row r="10" spans="1:15">
      <c r="A10" s="6" t="s">
        <v>228</v>
      </c>
      <c r="B10" s="6" t="s">
        <v>204</v>
      </c>
      <c r="C10" s="6" t="s">
        <v>45</v>
      </c>
      <c r="D10" s="10" t="s">
        <v>205</v>
      </c>
      <c r="E10" s="10">
        <v>1</v>
      </c>
      <c r="F10" s="10" t="s">
        <v>206</v>
      </c>
      <c r="G10" s="10">
        <v>-1</v>
      </c>
      <c r="H10" s="10" t="s">
        <v>206</v>
      </c>
      <c r="I10" s="10">
        <v>-1000</v>
      </c>
      <c r="J10" s="10">
        <v>1000</v>
      </c>
      <c r="K10" s="10">
        <v>0</v>
      </c>
      <c r="L10" s="10" t="s">
        <v>99</v>
      </c>
      <c r="M10" s="6" t="s">
        <v>208</v>
      </c>
      <c r="N10" s="6" t="s">
        <v>229</v>
      </c>
      <c r="O10" s="10" t="str">
        <f t="shared" si="1"/>
        <v>ISP</v>
      </c>
    </row>
    <row r="11" spans="1:15">
      <c r="A11" s="6" t="s">
        <v>230</v>
      </c>
      <c r="B11" s="6" t="s">
        <v>204</v>
      </c>
      <c r="C11" s="6" t="s">
        <v>45</v>
      </c>
      <c r="D11" s="10" t="s">
        <v>205</v>
      </c>
      <c r="E11" s="10">
        <v>1</v>
      </c>
      <c r="F11" s="10" t="s">
        <v>206</v>
      </c>
      <c r="G11" s="10">
        <v>-1</v>
      </c>
      <c r="H11" s="10" t="s">
        <v>206</v>
      </c>
      <c r="I11" s="10">
        <v>-1000</v>
      </c>
      <c r="J11" s="10">
        <v>1000</v>
      </c>
      <c r="K11" s="10">
        <v>0</v>
      </c>
      <c r="L11" s="10" t="s">
        <v>99</v>
      </c>
      <c r="M11" s="6" t="s">
        <v>208</v>
      </c>
      <c r="N11" s="6" t="s">
        <v>231</v>
      </c>
      <c r="O11" s="10" t="str">
        <f t="shared" si="1"/>
        <v>ISP</v>
      </c>
    </row>
    <row r="12" spans="1:15">
      <c r="A12" s="6" t="s">
        <v>232</v>
      </c>
      <c r="B12" s="6" t="s">
        <v>204</v>
      </c>
      <c r="C12" s="6" t="s">
        <v>45</v>
      </c>
      <c r="D12" s="10" t="s">
        <v>205</v>
      </c>
      <c r="E12" s="10">
        <v>1</v>
      </c>
      <c r="F12" s="10" t="s">
        <v>206</v>
      </c>
      <c r="G12" s="10">
        <v>-1</v>
      </c>
      <c r="H12" s="10" t="s">
        <v>206</v>
      </c>
      <c r="I12" s="10">
        <v>-1000</v>
      </c>
      <c r="J12" s="10">
        <v>1000</v>
      </c>
      <c r="K12" s="10">
        <v>0</v>
      </c>
      <c r="L12" s="10" t="s">
        <v>99</v>
      </c>
      <c r="M12" s="6" t="s">
        <v>208</v>
      </c>
      <c r="N12" s="6" t="s">
        <v>233</v>
      </c>
      <c r="O12" s="10" t="str">
        <f t="shared" si="1"/>
        <v>ISP</v>
      </c>
    </row>
    <row r="13" spans="1:15">
      <c r="A13" s="6" t="s">
        <v>234</v>
      </c>
      <c r="B13" s="6" t="s">
        <v>204</v>
      </c>
      <c r="C13" s="6" t="s">
        <v>45</v>
      </c>
      <c r="D13" s="10" t="s">
        <v>205</v>
      </c>
      <c r="E13" s="10">
        <v>1</v>
      </c>
      <c r="F13" s="10" t="s">
        <v>206</v>
      </c>
      <c r="G13" s="10">
        <v>-1</v>
      </c>
      <c r="H13" s="10" t="s">
        <v>206</v>
      </c>
      <c r="I13" s="10">
        <v>-1000</v>
      </c>
      <c r="J13" s="10">
        <v>1000</v>
      </c>
      <c r="K13" s="10">
        <v>0</v>
      </c>
      <c r="L13" s="10" t="s">
        <v>99</v>
      </c>
      <c r="M13" s="6" t="s">
        <v>208</v>
      </c>
      <c r="N13" s="6" t="s">
        <v>233</v>
      </c>
      <c r="O13" s="10" t="str">
        <f t="shared" si="1"/>
        <v>ISP</v>
      </c>
    </row>
    <row r="14" spans="1:15">
      <c r="A14" s="6" t="s">
        <v>235</v>
      </c>
      <c r="B14" s="6" t="s">
        <v>204</v>
      </c>
      <c r="C14" s="6" t="s">
        <v>45</v>
      </c>
      <c r="D14" s="10" t="s">
        <v>205</v>
      </c>
      <c r="E14" s="10">
        <v>1</v>
      </c>
      <c r="F14" s="10" t="s">
        <v>206</v>
      </c>
      <c r="G14" s="10">
        <v>-1</v>
      </c>
      <c r="H14" s="10" t="s">
        <v>206</v>
      </c>
      <c r="I14" s="10">
        <v>-1000</v>
      </c>
      <c r="J14" s="10">
        <v>1000</v>
      </c>
      <c r="K14" s="10">
        <v>0</v>
      </c>
      <c r="L14" s="10" t="s">
        <v>99</v>
      </c>
      <c r="M14" s="6" t="s">
        <v>208</v>
      </c>
      <c r="N14" s="6" t="s">
        <v>236</v>
      </c>
      <c r="O14" s="10" t="str">
        <f t="shared" si="1"/>
        <v>ISP</v>
      </c>
    </row>
    <row r="15" spans="1:15">
      <c r="A15" s="6" t="s">
        <v>237</v>
      </c>
      <c r="B15" s="6" t="s">
        <v>204</v>
      </c>
      <c r="C15" s="6" t="s">
        <v>45</v>
      </c>
      <c r="D15" s="10" t="s">
        <v>205</v>
      </c>
      <c r="E15" s="10">
        <v>1</v>
      </c>
      <c r="F15" s="10" t="s">
        <v>206</v>
      </c>
      <c r="G15" s="10">
        <v>-1</v>
      </c>
      <c r="H15" s="10" t="s">
        <v>206</v>
      </c>
      <c r="I15" s="10">
        <v>-1000</v>
      </c>
      <c r="J15" s="10">
        <v>1000</v>
      </c>
      <c r="K15" s="10">
        <v>0</v>
      </c>
      <c r="L15" s="10" t="s">
        <v>99</v>
      </c>
      <c r="M15" s="6" t="s">
        <v>208</v>
      </c>
      <c r="N15" s="6" t="s">
        <v>238</v>
      </c>
      <c r="O15" s="10" t="str">
        <f t="shared" si="1"/>
        <v>ISP</v>
      </c>
    </row>
    <row r="16" spans="1:15">
      <c r="A16" s="6" t="s">
        <v>239</v>
      </c>
      <c r="B16" s="6" t="s">
        <v>204</v>
      </c>
      <c r="C16" s="6" t="s">
        <v>45</v>
      </c>
      <c r="D16" s="10" t="s">
        <v>205</v>
      </c>
      <c r="E16" s="10">
        <v>1</v>
      </c>
      <c r="F16" s="10" t="s">
        <v>206</v>
      </c>
      <c r="G16" s="10">
        <v>-1</v>
      </c>
      <c r="H16" s="10" t="s">
        <v>206</v>
      </c>
      <c r="I16" s="10">
        <v>-1000</v>
      </c>
      <c r="J16" s="10">
        <v>1000</v>
      </c>
      <c r="K16" s="10">
        <v>0</v>
      </c>
      <c r="L16" s="10" t="s">
        <v>99</v>
      </c>
      <c r="M16" s="6" t="s">
        <v>208</v>
      </c>
      <c r="N16" s="6" t="s">
        <v>240</v>
      </c>
      <c r="O16" s="10" t="str">
        <f t="shared" si="1"/>
        <v>ISP</v>
      </c>
    </row>
    <row r="17" spans="1:15">
      <c r="A17" s="6" t="s">
        <v>241</v>
      </c>
      <c r="B17" s="6" t="s">
        <v>204</v>
      </c>
      <c r="C17" s="6" t="s">
        <v>45</v>
      </c>
      <c r="D17" s="10" t="s">
        <v>205</v>
      </c>
      <c r="E17" s="10">
        <v>1</v>
      </c>
      <c r="F17" s="10" t="s">
        <v>206</v>
      </c>
      <c r="G17" s="10">
        <v>-1</v>
      </c>
      <c r="H17" s="10" t="s">
        <v>206</v>
      </c>
      <c r="I17" s="10">
        <v>-1000</v>
      </c>
      <c r="J17" s="10">
        <v>1000</v>
      </c>
      <c r="K17" s="10">
        <v>0</v>
      </c>
      <c r="L17" s="10" t="s">
        <v>99</v>
      </c>
      <c r="M17" s="6" t="s">
        <v>208</v>
      </c>
      <c r="N17" s="6" t="s">
        <v>242</v>
      </c>
      <c r="O17" s="10" t="str">
        <f t="shared" si="1"/>
        <v>ISP</v>
      </c>
    </row>
    <row r="18" spans="1:15">
      <c r="A18" s="6" t="s">
        <v>243</v>
      </c>
      <c r="B18" s="6" t="s">
        <v>204</v>
      </c>
      <c r="C18" s="6" t="s">
        <v>45</v>
      </c>
      <c r="D18" s="10" t="s">
        <v>205</v>
      </c>
      <c r="E18" s="10">
        <v>1</v>
      </c>
      <c r="F18" s="10" t="s">
        <v>206</v>
      </c>
      <c r="G18" s="10">
        <v>-1</v>
      </c>
      <c r="H18" s="10" t="s">
        <v>206</v>
      </c>
      <c r="I18" s="10">
        <v>-1000</v>
      </c>
      <c r="J18" s="10">
        <v>1000</v>
      </c>
      <c r="K18" s="10">
        <v>0</v>
      </c>
      <c r="L18" s="10" t="s">
        <v>99</v>
      </c>
      <c r="M18" s="6" t="s">
        <v>208</v>
      </c>
      <c r="N18" s="6" t="s">
        <v>244</v>
      </c>
      <c r="O18" s="10" t="str">
        <f t="shared" si="1"/>
        <v>ISP</v>
      </c>
    </row>
    <row r="19" spans="1:15">
      <c r="A19" s="6" t="s">
        <v>245</v>
      </c>
      <c r="B19" s="6" t="s">
        <v>204</v>
      </c>
      <c r="C19" s="6" t="s">
        <v>45</v>
      </c>
      <c r="D19" s="10" t="s">
        <v>205</v>
      </c>
      <c r="E19" s="10">
        <v>1</v>
      </c>
      <c r="F19" s="10" t="s">
        <v>206</v>
      </c>
      <c r="G19" s="10">
        <v>-1</v>
      </c>
      <c r="H19" s="10" t="s">
        <v>206</v>
      </c>
      <c r="I19" s="10">
        <v>-1000</v>
      </c>
      <c r="J19" s="10">
        <v>1000</v>
      </c>
      <c r="K19" s="10">
        <v>0</v>
      </c>
      <c r="L19" s="10" t="s">
        <v>99</v>
      </c>
      <c r="M19" s="6" t="s">
        <v>208</v>
      </c>
      <c r="N19" s="6" t="s">
        <v>246</v>
      </c>
      <c r="O19" s="10" t="str">
        <f t="shared" si="1"/>
        <v>ISP</v>
      </c>
    </row>
    <row r="20" spans="1:15">
      <c r="A20" s="6" t="s">
        <v>247</v>
      </c>
      <c r="B20" s="6" t="s">
        <v>204</v>
      </c>
      <c r="C20" s="6" t="s">
        <v>45</v>
      </c>
      <c r="D20" s="10" t="s">
        <v>205</v>
      </c>
      <c r="E20" s="10">
        <v>1</v>
      </c>
      <c r="F20" s="10" t="s">
        <v>206</v>
      </c>
      <c r="G20" s="10">
        <v>-1</v>
      </c>
      <c r="H20" s="10" t="s">
        <v>206</v>
      </c>
      <c r="I20" s="10">
        <v>-1000</v>
      </c>
      <c r="J20" s="10">
        <v>1000</v>
      </c>
      <c r="K20" s="10">
        <v>0</v>
      </c>
      <c r="L20" s="10" t="s">
        <v>99</v>
      </c>
      <c r="M20" s="6" t="s">
        <v>208</v>
      </c>
      <c r="N20" s="6" t="s">
        <v>248</v>
      </c>
      <c r="O20" s="10" t="str">
        <f t="shared" si="1"/>
        <v>ISP</v>
      </c>
    </row>
    <row r="21" spans="1:15">
      <c r="A21" s="6" t="s">
        <v>249</v>
      </c>
      <c r="B21" s="6" t="s">
        <v>204</v>
      </c>
      <c r="C21" s="6" t="s">
        <v>45</v>
      </c>
      <c r="D21" s="10" t="s">
        <v>205</v>
      </c>
      <c r="E21" s="10">
        <v>1</v>
      </c>
      <c r="F21" s="10" t="s">
        <v>206</v>
      </c>
      <c r="G21" s="10">
        <v>-1</v>
      </c>
      <c r="H21" s="10" t="s">
        <v>206</v>
      </c>
      <c r="I21" s="10">
        <v>-1000</v>
      </c>
      <c r="J21" s="10">
        <v>1000</v>
      </c>
      <c r="K21" s="10">
        <v>0</v>
      </c>
      <c r="L21" s="10" t="s">
        <v>99</v>
      </c>
      <c r="M21" s="6" t="s">
        <v>208</v>
      </c>
      <c r="N21" s="6" t="s">
        <v>250</v>
      </c>
      <c r="O21" s="10" t="str">
        <f t="shared" si="1"/>
        <v>ISP</v>
      </c>
    </row>
    <row r="22" spans="1:15">
      <c r="A22" s="6" t="s">
        <v>251</v>
      </c>
      <c r="B22" s="6" t="s">
        <v>204</v>
      </c>
      <c r="C22" s="6" t="s">
        <v>45</v>
      </c>
      <c r="D22" s="10" t="s">
        <v>205</v>
      </c>
      <c r="E22" s="10">
        <v>1</v>
      </c>
      <c r="F22" s="10" t="s">
        <v>206</v>
      </c>
      <c r="G22" s="10">
        <v>-1</v>
      </c>
      <c r="H22" s="10" t="s">
        <v>206</v>
      </c>
      <c r="I22" s="10">
        <v>-1000</v>
      </c>
      <c r="J22" s="10">
        <v>1000</v>
      </c>
      <c r="K22" s="10">
        <v>0</v>
      </c>
      <c r="L22" s="10" t="s">
        <v>99</v>
      </c>
      <c r="M22" s="6" t="s">
        <v>208</v>
      </c>
      <c r="N22" s="6" t="s">
        <v>252</v>
      </c>
      <c r="O22" s="10" t="str">
        <f t="shared" si="1"/>
        <v>ISP</v>
      </c>
    </row>
    <row r="23" spans="1:15">
      <c r="A23" s="6" t="s">
        <v>253</v>
      </c>
      <c r="B23" s="6" t="s">
        <v>204</v>
      </c>
      <c r="C23" s="6" t="s">
        <v>45</v>
      </c>
      <c r="D23" s="10" t="s">
        <v>205</v>
      </c>
      <c r="E23" s="10">
        <v>1</v>
      </c>
      <c r="F23" s="10" t="s">
        <v>206</v>
      </c>
      <c r="G23" s="10">
        <v>-1</v>
      </c>
      <c r="H23" s="10" t="s">
        <v>206</v>
      </c>
      <c r="I23" s="10">
        <v>-1000</v>
      </c>
      <c r="J23" s="10">
        <v>1000</v>
      </c>
      <c r="K23" s="10">
        <v>0</v>
      </c>
      <c r="L23" s="10" t="s">
        <v>99</v>
      </c>
      <c r="M23" s="6" t="s">
        <v>208</v>
      </c>
      <c r="N23" s="6" t="s">
        <v>252</v>
      </c>
      <c r="O23" s="10" t="str">
        <f t="shared" si="1"/>
        <v>ISP</v>
      </c>
    </row>
    <row r="24" spans="1:15">
      <c r="A24" s="6" t="s">
        <v>254</v>
      </c>
      <c r="B24" s="6" t="s">
        <v>204</v>
      </c>
      <c r="C24" s="6" t="s">
        <v>45</v>
      </c>
      <c r="D24" s="10" t="s">
        <v>205</v>
      </c>
      <c r="E24" s="10">
        <v>1</v>
      </c>
      <c r="F24" s="10" t="s">
        <v>206</v>
      </c>
      <c r="G24" s="10">
        <v>-1</v>
      </c>
      <c r="H24" s="10" t="s">
        <v>206</v>
      </c>
      <c r="I24" s="10">
        <v>-1000</v>
      </c>
      <c r="J24" s="10">
        <v>1000</v>
      </c>
      <c r="K24" s="10">
        <v>0</v>
      </c>
      <c r="L24" s="10" t="s">
        <v>99</v>
      </c>
      <c r="M24" s="6" t="s">
        <v>208</v>
      </c>
      <c r="N24" s="6" t="s">
        <v>252</v>
      </c>
      <c r="O24" s="10" t="str">
        <f t="shared" si="1"/>
        <v>ISP</v>
      </c>
    </row>
    <row r="25" spans="1:15">
      <c r="A25" s="6" t="s">
        <v>255</v>
      </c>
      <c r="B25" s="6" t="s">
        <v>204</v>
      </c>
      <c r="C25" s="6" t="s">
        <v>45</v>
      </c>
      <c r="D25" s="10" t="s">
        <v>205</v>
      </c>
      <c r="E25" s="10">
        <v>1</v>
      </c>
      <c r="F25" s="10" t="s">
        <v>206</v>
      </c>
      <c r="G25" s="10">
        <v>-1</v>
      </c>
      <c r="H25" s="10" t="s">
        <v>206</v>
      </c>
      <c r="I25" s="10">
        <v>-1000</v>
      </c>
      <c r="J25" s="10">
        <v>1000</v>
      </c>
      <c r="K25" s="10">
        <v>0</v>
      </c>
      <c r="L25" s="10" t="s">
        <v>99</v>
      </c>
      <c r="M25" s="6" t="s">
        <v>208</v>
      </c>
      <c r="N25" s="6" t="s">
        <v>252</v>
      </c>
      <c r="O25" s="10" t="str">
        <f t="shared" si="1"/>
        <v>ISP</v>
      </c>
    </row>
    <row r="26" spans="1:15">
      <c r="A26" s="6" t="s">
        <v>256</v>
      </c>
      <c r="B26" s="6" t="s">
        <v>204</v>
      </c>
      <c r="C26" s="6" t="s">
        <v>45</v>
      </c>
      <c r="D26" s="10" t="s">
        <v>205</v>
      </c>
      <c r="E26" s="10">
        <v>1</v>
      </c>
      <c r="F26" s="10" t="s">
        <v>206</v>
      </c>
      <c r="G26" s="10">
        <v>-1</v>
      </c>
      <c r="H26" s="10" t="s">
        <v>206</v>
      </c>
      <c r="I26" s="10">
        <v>-1000</v>
      </c>
      <c r="J26" s="10">
        <v>1000</v>
      </c>
      <c r="K26" s="10">
        <v>0</v>
      </c>
      <c r="L26" s="10" t="s">
        <v>99</v>
      </c>
      <c r="M26" s="6" t="s">
        <v>208</v>
      </c>
      <c r="N26" s="6" t="s">
        <v>257</v>
      </c>
      <c r="O26" s="10" t="str">
        <f t="shared" si="1"/>
        <v>ISP</v>
      </c>
    </row>
    <row r="27" spans="1:15">
      <c r="A27" s="6" t="s">
        <v>258</v>
      </c>
      <c r="B27" s="6" t="s">
        <v>204</v>
      </c>
      <c r="C27" s="6" t="s">
        <v>45</v>
      </c>
      <c r="D27" s="10" t="s">
        <v>205</v>
      </c>
      <c r="E27" s="10">
        <v>1</v>
      </c>
      <c r="F27" s="10" t="s">
        <v>206</v>
      </c>
      <c r="G27" s="10">
        <v>-1</v>
      </c>
      <c r="H27" s="10" t="s">
        <v>206</v>
      </c>
      <c r="I27" s="10">
        <v>-1000</v>
      </c>
      <c r="J27" s="10">
        <v>1000</v>
      </c>
      <c r="K27" s="10">
        <v>0</v>
      </c>
      <c r="L27" s="10" t="s">
        <v>99</v>
      </c>
      <c r="M27" s="6" t="s">
        <v>208</v>
      </c>
      <c r="N27" s="6" t="s">
        <v>259</v>
      </c>
      <c r="O27" s="10" t="str">
        <f t="shared" si="1"/>
        <v>ISP</v>
      </c>
    </row>
    <row r="28" spans="1:15">
      <c r="A28" s="6" t="s">
        <v>260</v>
      </c>
      <c r="B28" s="6" t="s">
        <v>204</v>
      </c>
      <c r="C28" s="6" t="s">
        <v>45</v>
      </c>
      <c r="D28" s="10" t="s">
        <v>205</v>
      </c>
      <c r="E28" s="10">
        <v>1</v>
      </c>
      <c r="F28" s="10" t="s">
        <v>206</v>
      </c>
      <c r="G28" s="10">
        <v>-1</v>
      </c>
      <c r="H28" s="10" t="s">
        <v>206</v>
      </c>
      <c r="I28" s="10">
        <v>-1000</v>
      </c>
      <c r="J28" s="10">
        <v>1000</v>
      </c>
      <c r="K28" s="10">
        <v>0</v>
      </c>
      <c r="L28" s="10" t="s">
        <v>99</v>
      </c>
      <c r="M28" s="6" t="s">
        <v>208</v>
      </c>
      <c r="N28" s="6" t="s">
        <v>259</v>
      </c>
      <c r="O28" s="10" t="str">
        <f t="shared" si="1"/>
        <v>ISP</v>
      </c>
    </row>
    <row r="29" spans="1:15">
      <c r="A29" s="6" t="s">
        <v>261</v>
      </c>
      <c r="B29" s="6" t="s">
        <v>204</v>
      </c>
      <c r="C29" s="6" t="s">
        <v>45</v>
      </c>
      <c r="D29" s="10" t="s">
        <v>205</v>
      </c>
      <c r="E29" s="10">
        <v>1</v>
      </c>
      <c r="F29" s="10" t="s">
        <v>206</v>
      </c>
      <c r="G29" s="10">
        <v>-1</v>
      </c>
      <c r="H29" s="10" t="s">
        <v>206</v>
      </c>
      <c r="I29" s="10">
        <v>-1000</v>
      </c>
      <c r="J29" s="10">
        <v>1000</v>
      </c>
      <c r="K29" s="10">
        <v>0</v>
      </c>
      <c r="L29" s="10" t="s">
        <v>99</v>
      </c>
      <c r="M29" s="6" t="s">
        <v>208</v>
      </c>
      <c r="N29" s="6" t="s">
        <v>262</v>
      </c>
      <c r="O29" s="10" t="str">
        <f t="shared" si="1"/>
        <v>ISP</v>
      </c>
    </row>
    <row r="30" spans="1:15">
      <c r="A30" s="6" t="s">
        <v>263</v>
      </c>
      <c r="B30" s="6" t="s">
        <v>204</v>
      </c>
      <c r="C30" s="6" t="s">
        <v>45</v>
      </c>
      <c r="D30" s="10" t="s">
        <v>205</v>
      </c>
      <c r="E30" s="10">
        <v>1</v>
      </c>
      <c r="F30" s="10" t="s">
        <v>206</v>
      </c>
      <c r="G30" s="10">
        <v>-1</v>
      </c>
      <c r="H30" s="10" t="s">
        <v>206</v>
      </c>
      <c r="I30" s="10">
        <v>-1000</v>
      </c>
      <c r="J30" s="10">
        <v>1000</v>
      </c>
      <c r="K30" s="10">
        <v>0</v>
      </c>
      <c r="L30" s="10" t="s">
        <v>99</v>
      </c>
      <c r="M30" s="6" t="s">
        <v>208</v>
      </c>
      <c r="N30" s="6" t="s">
        <v>264</v>
      </c>
      <c r="O30" s="10" t="str">
        <f t="shared" si="1"/>
        <v>ISP</v>
      </c>
    </row>
    <row r="31" spans="1:15">
      <c r="A31" s="6" t="s">
        <v>265</v>
      </c>
      <c r="B31" s="6" t="s">
        <v>204</v>
      </c>
      <c r="C31" s="6" t="s">
        <v>45</v>
      </c>
      <c r="D31" s="10" t="s">
        <v>205</v>
      </c>
      <c r="E31" s="10">
        <v>1</v>
      </c>
      <c r="F31" s="10" t="s">
        <v>206</v>
      </c>
      <c r="G31" s="10">
        <v>-1</v>
      </c>
      <c r="H31" s="10" t="s">
        <v>206</v>
      </c>
      <c r="I31" s="10">
        <v>-1000</v>
      </c>
      <c r="J31" s="10">
        <v>1000</v>
      </c>
      <c r="K31" s="10">
        <v>0</v>
      </c>
      <c r="L31" s="10" t="s">
        <v>99</v>
      </c>
      <c r="M31" s="6" t="s">
        <v>208</v>
      </c>
      <c r="N31" s="6" t="s">
        <v>266</v>
      </c>
      <c r="O31" s="10" t="str">
        <f t="shared" si="1"/>
        <v>ISP</v>
      </c>
    </row>
    <row r="32" spans="1:15">
      <c r="A32" s="6" t="s">
        <v>267</v>
      </c>
      <c r="B32" s="6" t="s">
        <v>204</v>
      </c>
      <c r="C32" s="6" t="s">
        <v>42</v>
      </c>
      <c r="D32" s="10" t="s">
        <v>205</v>
      </c>
      <c r="E32" s="10">
        <v>1</v>
      </c>
      <c r="F32" s="10" t="s">
        <v>206</v>
      </c>
      <c r="G32" s="10">
        <v>-1</v>
      </c>
      <c r="H32" s="10" t="s">
        <v>206</v>
      </c>
      <c r="I32" s="10">
        <v>-32768</v>
      </c>
      <c r="J32" s="10">
        <v>32767</v>
      </c>
      <c r="K32" s="10">
        <v>0</v>
      </c>
      <c r="L32" s="10" t="s">
        <v>79</v>
      </c>
      <c r="M32" s="6" t="s">
        <v>208</v>
      </c>
      <c r="N32" s="6" t="s">
        <v>268</v>
      </c>
      <c r="O32" s="10" t="str">
        <f t="shared" si="1"/>
        <v>ISP</v>
      </c>
    </row>
    <row r="33" spans="1:15">
      <c r="A33" s="6" t="s">
        <v>269</v>
      </c>
      <c r="B33" s="6" t="s">
        <v>204</v>
      </c>
      <c r="C33" s="6" t="s">
        <v>42</v>
      </c>
      <c r="D33" s="10" t="s">
        <v>205</v>
      </c>
      <c r="E33" s="10">
        <v>1</v>
      </c>
      <c r="F33" s="10" t="s">
        <v>206</v>
      </c>
      <c r="G33" s="10">
        <v>-1</v>
      </c>
      <c r="H33" s="10" t="s">
        <v>206</v>
      </c>
      <c r="I33" s="10">
        <v>-32768</v>
      </c>
      <c r="J33" s="10">
        <v>32767</v>
      </c>
      <c r="K33" s="10">
        <v>0</v>
      </c>
      <c r="L33" s="10" t="s">
        <v>79</v>
      </c>
      <c r="M33" s="6" t="s">
        <v>208</v>
      </c>
      <c r="N33" s="6" t="s">
        <v>270</v>
      </c>
      <c r="O33" s="10" t="str">
        <f t="shared" si="1"/>
        <v>ISP</v>
      </c>
    </row>
    <row r="34" spans="1:15">
      <c r="A34" s="6" t="s">
        <v>271</v>
      </c>
      <c r="B34" s="6" t="s">
        <v>204</v>
      </c>
      <c r="C34" s="6" t="s">
        <v>42</v>
      </c>
      <c r="D34" s="10" t="s">
        <v>205</v>
      </c>
      <c r="E34" s="10">
        <v>1</v>
      </c>
      <c r="F34" s="10" t="s">
        <v>206</v>
      </c>
      <c r="G34" s="10">
        <v>-1</v>
      </c>
      <c r="H34" s="10" t="s">
        <v>206</v>
      </c>
      <c r="I34" s="10">
        <v>-32768</v>
      </c>
      <c r="J34" s="10">
        <v>32767</v>
      </c>
      <c r="K34" s="10">
        <v>0</v>
      </c>
      <c r="L34" s="10" t="s">
        <v>79</v>
      </c>
      <c r="M34" s="6" t="s">
        <v>208</v>
      </c>
      <c r="N34" s="6" t="s">
        <v>272</v>
      </c>
      <c r="O34" s="10" t="str">
        <f t="shared" si="1"/>
        <v>ISP</v>
      </c>
    </row>
    <row r="35" spans="1:15">
      <c r="A35" s="6" t="s">
        <v>273</v>
      </c>
      <c r="B35" s="6" t="s">
        <v>204</v>
      </c>
      <c r="C35" s="6" t="s">
        <v>42</v>
      </c>
      <c r="D35" s="10" t="s">
        <v>205</v>
      </c>
      <c r="E35" s="10">
        <v>1</v>
      </c>
      <c r="F35" s="10" t="s">
        <v>206</v>
      </c>
      <c r="G35" s="10">
        <v>-1</v>
      </c>
      <c r="H35" s="10" t="s">
        <v>206</v>
      </c>
      <c r="I35" s="10">
        <v>-32768</v>
      </c>
      <c r="J35" s="10">
        <v>32767</v>
      </c>
      <c r="K35" s="10">
        <v>0</v>
      </c>
      <c r="L35" s="10" t="s">
        <v>79</v>
      </c>
      <c r="M35" s="6" t="s">
        <v>208</v>
      </c>
      <c r="N35" s="6" t="s">
        <v>274</v>
      </c>
      <c r="O35" s="10" t="str">
        <f t="shared" si="1"/>
        <v>ISP</v>
      </c>
    </row>
    <row r="36" spans="1:15">
      <c r="A36" s="6" t="s">
        <v>275</v>
      </c>
      <c r="B36" s="6" t="s">
        <v>204</v>
      </c>
      <c r="C36" s="6" t="s">
        <v>42</v>
      </c>
      <c r="D36" s="10" t="s">
        <v>205</v>
      </c>
      <c r="E36" s="10">
        <v>1</v>
      </c>
      <c r="F36" s="10" t="s">
        <v>206</v>
      </c>
      <c r="G36" s="10">
        <v>-1</v>
      </c>
      <c r="H36" s="10" t="s">
        <v>206</v>
      </c>
      <c r="I36" s="10">
        <v>-32768</v>
      </c>
      <c r="J36" s="10">
        <v>32767</v>
      </c>
      <c r="K36" s="10">
        <v>0</v>
      </c>
      <c r="L36" s="10" t="s">
        <v>79</v>
      </c>
      <c r="M36" s="6" t="s">
        <v>208</v>
      </c>
      <c r="N36" s="6" t="s">
        <v>276</v>
      </c>
      <c r="O36" s="10" t="str">
        <f t="shared" ref="O36:O38" si="2">MID(A36,1,3)</f>
        <v>ISP</v>
      </c>
    </row>
    <row r="37" spans="1:15">
      <c r="A37" s="6" t="s">
        <v>277</v>
      </c>
      <c r="B37" s="6" t="s">
        <v>204</v>
      </c>
      <c r="C37" s="6" t="s">
        <v>42</v>
      </c>
      <c r="D37" s="10" t="s">
        <v>205</v>
      </c>
      <c r="E37" s="10">
        <v>1</v>
      </c>
      <c r="F37" s="10" t="s">
        <v>206</v>
      </c>
      <c r="G37" s="10">
        <v>-1</v>
      </c>
      <c r="H37" s="10" t="s">
        <v>206</v>
      </c>
      <c r="I37" s="10">
        <v>-32768</v>
      </c>
      <c r="J37" s="10">
        <v>32767</v>
      </c>
      <c r="K37" s="10">
        <v>0</v>
      </c>
      <c r="L37" s="10" t="s">
        <v>79</v>
      </c>
      <c r="M37" s="6" t="s">
        <v>208</v>
      </c>
      <c r="N37" s="6" t="s">
        <v>278</v>
      </c>
      <c r="O37" s="10" t="str">
        <f t="shared" si="2"/>
        <v>ISP</v>
      </c>
    </row>
    <row r="38" spans="1:15">
      <c r="A38" s="6" t="s">
        <v>279</v>
      </c>
      <c r="B38" s="6" t="s">
        <v>204</v>
      </c>
      <c r="C38" s="6" t="s">
        <v>42</v>
      </c>
      <c r="D38" s="10" t="s">
        <v>205</v>
      </c>
      <c r="E38" s="10">
        <v>1</v>
      </c>
      <c r="F38" s="10" t="s">
        <v>206</v>
      </c>
      <c r="G38" s="10">
        <v>-1</v>
      </c>
      <c r="H38" s="10" t="s">
        <v>206</v>
      </c>
      <c r="I38" s="10">
        <v>-32768</v>
      </c>
      <c r="J38" s="10">
        <v>32767</v>
      </c>
      <c r="K38" s="10">
        <v>0</v>
      </c>
      <c r="L38" s="10" t="s">
        <v>79</v>
      </c>
      <c r="M38" s="6" t="s">
        <v>208</v>
      </c>
      <c r="N38" s="6" t="s">
        <v>280</v>
      </c>
      <c r="O38" s="10" t="str">
        <f t="shared" si="2"/>
        <v>ISP</v>
      </c>
    </row>
    <row r="39" spans="1:15">
      <c r="A39" s="6" t="s">
        <v>281</v>
      </c>
      <c r="B39" s="6" t="s">
        <v>204</v>
      </c>
      <c r="C39" s="6" t="s">
        <v>42</v>
      </c>
      <c r="D39" s="10" t="s">
        <v>205</v>
      </c>
      <c r="E39" s="10">
        <v>1</v>
      </c>
      <c r="F39" s="10" t="s">
        <v>206</v>
      </c>
      <c r="G39" s="10">
        <v>-1</v>
      </c>
      <c r="H39" s="10" t="s">
        <v>206</v>
      </c>
      <c r="I39" s="10">
        <v>-32768</v>
      </c>
      <c r="J39" s="10">
        <v>32767</v>
      </c>
      <c r="K39" s="10">
        <v>0</v>
      </c>
      <c r="L39" s="10" t="s">
        <v>79</v>
      </c>
      <c r="M39" s="6" t="s">
        <v>208</v>
      </c>
      <c r="N39" s="6" t="s">
        <v>282</v>
      </c>
      <c r="O39" s="10" t="str">
        <f t="shared" si="1"/>
        <v>ISP</v>
      </c>
    </row>
    <row r="40" spans="1:15">
      <c r="A40" s="6" t="s">
        <v>283</v>
      </c>
      <c r="B40" s="6" t="s">
        <v>204</v>
      </c>
      <c r="C40" s="6" t="s">
        <v>45</v>
      </c>
      <c r="D40" s="10" t="s">
        <v>205</v>
      </c>
      <c r="E40" s="10">
        <v>1</v>
      </c>
      <c r="F40" s="10" t="s">
        <v>206</v>
      </c>
      <c r="G40" s="10">
        <v>-1</v>
      </c>
      <c r="H40" s="10" t="s">
        <v>206</v>
      </c>
      <c r="I40" s="10">
        <v>-32768</v>
      </c>
      <c r="J40" s="10">
        <v>32767</v>
      </c>
      <c r="K40" s="10">
        <v>0</v>
      </c>
      <c r="L40" s="10" t="s">
        <v>79</v>
      </c>
      <c r="M40" s="6" t="s">
        <v>208</v>
      </c>
      <c r="N40" s="6" t="s">
        <v>284</v>
      </c>
      <c r="O40" s="10" t="str">
        <f t="shared" ref="O40:O46" si="3">MID(A40,1,3)</f>
        <v>ISP</v>
      </c>
    </row>
    <row r="41" spans="1:15">
      <c r="A41" s="6" t="s">
        <v>285</v>
      </c>
      <c r="B41" s="6" t="s">
        <v>204</v>
      </c>
      <c r="C41" s="6" t="s">
        <v>45</v>
      </c>
      <c r="D41" s="10" t="s">
        <v>205</v>
      </c>
      <c r="E41" s="10">
        <v>1</v>
      </c>
      <c r="F41" s="10" t="s">
        <v>206</v>
      </c>
      <c r="G41" s="10">
        <v>-1</v>
      </c>
      <c r="H41" s="10" t="s">
        <v>206</v>
      </c>
      <c r="I41" s="10">
        <v>-3276700</v>
      </c>
      <c r="J41" s="10">
        <v>3276700</v>
      </c>
      <c r="K41" s="10">
        <v>0</v>
      </c>
      <c r="L41" s="10" t="s">
        <v>79</v>
      </c>
      <c r="M41" s="6" t="s">
        <v>208</v>
      </c>
      <c r="N41" s="6" t="s">
        <v>286</v>
      </c>
      <c r="O41" s="10" t="str">
        <f t="shared" si="3"/>
        <v>ISP</v>
      </c>
    </row>
    <row r="42" spans="1:15">
      <c r="A42" s="6" t="s">
        <v>287</v>
      </c>
      <c r="B42" s="6" t="s">
        <v>204</v>
      </c>
      <c r="C42" s="6" t="s">
        <v>45</v>
      </c>
      <c r="D42" s="10" t="s">
        <v>205</v>
      </c>
      <c r="E42" s="10">
        <v>1</v>
      </c>
      <c r="F42" s="10" t="s">
        <v>206</v>
      </c>
      <c r="G42" s="10">
        <v>-1</v>
      </c>
      <c r="H42" s="10" t="s">
        <v>206</v>
      </c>
      <c r="I42" s="10">
        <v>-20000</v>
      </c>
      <c r="J42" s="10">
        <v>20000</v>
      </c>
      <c r="K42" s="10">
        <v>0</v>
      </c>
      <c r="L42" s="10" t="s">
        <v>215</v>
      </c>
      <c r="M42" s="6" t="s">
        <v>208</v>
      </c>
      <c r="N42" s="6" t="s">
        <v>288</v>
      </c>
      <c r="O42" s="10" t="str">
        <f t="shared" si="3"/>
        <v>ISP</v>
      </c>
    </row>
    <row r="43" spans="1:15">
      <c r="A43" s="6" t="s">
        <v>289</v>
      </c>
      <c r="B43" s="6" t="s">
        <v>204</v>
      </c>
      <c r="C43" s="6" t="s">
        <v>45</v>
      </c>
      <c r="D43" s="10" t="s">
        <v>205</v>
      </c>
      <c r="E43" s="10">
        <v>1</v>
      </c>
      <c r="F43" s="10" t="s">
        <v>206</v>
      </c>
      <c r="G43" s="10">
        <v>-1</v>
      </c>
      <c r="H43" s="10" t="s">
        <v>206</v>
      </c>
      <c r="I43" s="10">
        <v>0</v>
      </c>
      <c r="J43" s="10">
        <v>1.5</v>
      </c>
      <c r="K43" s="10">
        <v>0</v>
      </c>
      <c r="L43" s="10" t="s">
        <v>79</v>
      </c>
      <c r="M43" s="6" t="s">
        <v>208</v>
      </c>
      <c r="N43" s="6" t="s">
        <v>290</v>
      </c>
      <c r="O43" s="10" t="str">
        <f t="shared" si="3"/>
        <v>ISP</v>
      </c>
    </row>
    <row r="44" spans="1:15">
      <c r="A44" s="6" t="s">
        <v>291</v>
      </c>
      <c r="B44" s="6" t="s">
        <v>204</v>
      </c>
      <c r="C44" s="6" t="s">
        <v>45</v>
      </c>
      <c r="D44" s="10" t="s">
        <v>205</v>
      </c>
      <c r="E44" s="10">
        <v>1</v>
      </c>
      <c r="F44" s="10" t="s">
        <v>206</v>
      </c>
      <c r="G44" s="10">
        <v>-1</v>
      </c>
      <c r="H44" s="10" t="s">
        <v>206</v>
      </c>
      <c r="I44" s="10">
        <v>-1000</v>
      </c>
      <c r="J44" s="10">
        <v>1000</v>
      </c>
      <c r="K44" s="10">
        <v>0</v>
      </c>
      <c r="L44" s="10" t="s">
        <v>79</v>
      </c>
      <c r="M44" s="6" t="s">
        <v>208</v>
      </c>
      <c r="N44" s="6" t="s">
        <v>292</v>
      </c>
      <c r="O44" s="10" t="str">
        <f t="shared" si="3"/>
        <v>ISP</v>
      </c>
    </row>
    <row r="45" spans="1:15">
      <c r="A45" s="6" t="s">
        <v>293</v>
      </c>
      <c r="B45" s="6" t="s">
        <v>204</v>
      </c>
      <c r="C45" s="6" t="s">
        <v>45</v>
      </c>
      <c r="D45" s="10" t="s">
        <v>205</v>
      </c>
      <c r="E45" s="10">
        <v>1</v>
      </c>
      <c r="F45" s="10" t="s">
        <v>206</v>
      </c>
      <c r="G45" s="10">
        <v>-1</v>
      </c>
      <c r="H45" s="10" t="s">
        <v>206</v>
      </c>
      <c r="I45" s="10">
        <v>-1000</v>
      </c>
      <c r="J45" s="10">
        <v>1000</v>
      </c>
      <c r="K45" s="10">
        <v>0</v>
      </c>
      <c r="L45" s="10" t="s">
        <v>79</v>
      </c>
      <c r="M45" s="6" t="s">
        <v>208</v>
      </c>
      <c r="N45" s="6" t="s">
        <v>294</v>
      </c>
      <c r="O45" s="10" t="str">
        <f t="shared" si="3"/>
        <v>ISP</v>
      </c>
    </row>
    <row r="46" spans="1:15">
      <c r="A46" s="6" t="s">
        <v>295</v>
      </c>
      <c r="B46" s="6" t="s">
        <v>204</v>
      </c>
      <c r="C46" s="6" t="s">
        <v>38</v>
      </c>
      <c r="D46" s="10" t="s">
        <v>205</v>
      </c>
      <c r="E46" s="10">
        <v>1</v>
      </c>
      <c r="F46" s="10" t="s">
        <v>206</v>
      </c>
      <c r="G46" s="10">
        <v>-1</v>
      </c>
      <c r="H46" s="10" t="s">
        <v>206</v>
      </c>
      <c r="I46" s="10">
        <v>0</v>
      </c>
      <c r="J46" s="10">
        <v>2</v>
      </c>
      <c r="K46" s="10">
        <v>0</v>
      </c>
      <c r="L46" s="10" t="s">
        <v>79</v>
      </c>
      <c r="M46" s="6" t="s">
        <v>208</v>
      </c>
      <c r="N46" s="6" t="s">
        <v>296</v>
      </c>
      <c r="O46" s="10" t="str">
        <f t="shared" si="3"/>
        <v>ISP</v>
      </c>
    </row>
    <row r="47" spans="1:15">
      <c r="A47" s="6" t="s">
        <v>297</v>
      </c>
      <c r="B47" s="6" t="s">
        <v>204</v>
      </c>
      <c r="C47" s="6" t="s">
        <v>45</v>
      </c>
      <c r="D47" s="10" t="s">
        <v>205</v>
      </c>
      <c r="E47" s="10">
        <v>1</v>
      </c>
      <c r="F47" s="10" t="s">
        <v>206</v>
      </c>
      <c r="G47" s="10">
        <v>-1</v>
      </c>
      <c r="H47" s="10" t="s">
        <v>206</v>
      </c>
      <c r="I47" s="10">
        <v>0</v>
      </c>
      <c r="J47" s="10">
        <v>1000</v>
      </c>
      <c r="K47" s="10">
        <v>0</v>
      </c>
      <c r="L47" s="10" t="s">
        <v>298</v>
      </c>
      <c r="M47" s="6" t="s">
        <v>208</v>
      </c>
      <c r="N47" s="6" t="s">
        <v>299</v>
      </c>
      <c r="O47" s="10" t="str">
        <f t="shared" ref="O47:O57" si="4">MID(A47,1,3)</f>
        <v>ISP</v>
      </c>
    </row>
    <row r="48" spans="1:15">
      <c r="A48" s="6" t="s">
        <v>300</v>
      </c>
      <c r="B48" s="6" t="s">
        <v>204</v>
      </c>
      <c r="C48" s="6" t="s">
        <v>45</v>
      </c>
      <c r="D48" s="10" t="s">
        <v>205</v>
      </c>
      <c r="E48" s="10">
        <v>1</v>
      </c>
      <c r="F48" s="10" t="s">
        <v>206</v>
      </c>
      <c r="G48" s="10">
        <v>-1</v>
      </c>
      <c r="H48" s="10" t="s">
        <v>206</v>
      </c>
      <c r="I48" s="10">
        <v>0</v>
      </c>
      <c r="J48" s="10">
        <v>1000</v>
      </c>
      <c r="K48" s="10">
        <v>0</v>
      </c>
      <c r="L48" s="10" t="s">
        <v>298</v>
      </c>
      <c r="M48" s="6" t="s">
        <v>208</v>
      </c>
      <c r="N48" s="6" t="s">
        <v>301</v>
      </c>
      <c r="O48" s="10" t="str">
        <f t="shared" si="4"/>
        <v>ISP</v>
      </c>
    </row>
    <row r="49" spans="1:15">
      <c r="A49" s="6" t="s">
        <v>302</v>
      </c>
      <c r="B49" s="6" t="s">
        <v>204</v>
      </c>
      <c r="C49" s="6" t="s">
        <v>45</v>
      </c>
      <c r="D49" s="10" t="s">
        <v>205</v>
      </c>
      <c r="E49" s="10">
        <v>1</v>
      </c>
      <c r="F49" s="10" t="s">
        <v>206</v>
      </c>
      <c r="G49" s="10">
        <v>-1</v>
      </c>
      <c r="H49" s="10" t="s">
        <v>206</v>
      </c>
      <c r="I49" s="10">
        <v>0</v>
      </c>
      <c r="J49" s="10">
        <v>1000</v>
      </c>
      <c r="K49" s="10">
        <v>0</v>
      </c>
      <c r="L49" s="10" t="s">
        <v>298</v>
      </c>
      <c r="M49" s="6" t="s">
        <v>208</v>
      </c>
      <c r="N49" s="6" t="s">
        <v>303</v>
      </c>
      <c r="O49" s="10" t="str">
        <f t="shared" si="4"/>
        <v>ISP</v>
      </c>
    </row>
    <row r="50" spans="1:15">
      <c r="A50" s="6" t="s">
        <v>304</v>
      </c>
      <c r="B50" s="6" t="s">
        <v>204</v>
      </c>
      <c r="C50" s="6" t="s">
        <v>45</v>
      </c>
      <c r="D50" s="10" t="s">
        <v>205</v>
      </c>
      <c r="E50" s="10">
        <v>1</v>
      </c>
      <c r="F50" s="10" t="s">
        <v>206</v>
      </c>
      <c r="G50" s="10">
        <v>-1</v>
      </c>
      <c r="H50" s="10" t="s">
        <v>206</v>
      </c>
      <c r="I50" s="10">
        <v>-2000</v>
      </c>
      <c r="J50" s="10">
        <v>2000</v>
      </c>
      <c r="K50" s="10">
        <v>0</v>
      </c>
      <c r="L50" s="10" t="s">
        <v>305</v>
      </c>
      <c r="M50" s="6" t="s">
        <v>208</v>
      </c>
      <c r="N50" s="6" t="s">
        <v>306</v>
      </c>
      <c r="O50" s="10" t="str">
        <f t="shared" si="4"/>
        <v>ISP</v>
      </c>
    </row>
    <row r="51" spans="1:15">
      <c r="A51" s="6" t="s">
        <v>307</v>
      </c>
      <c r="B51" s="6" t="s">
        <v>204</v>
      </c>
      <c r="C51" s="6" t="s">
        <v>45</v>
      </c>
      <c r="D51" s="10" t="s">
        <v>205</v>
      </c>
      <c r="E51" s="10">
        <v>1</v>
      </c>
      <c r="F51" s="10" t="s">
        <v>206</v>
      </c>
      <c r="G51" s="10">
        <v>-1</v>
      </c>
      <c r="H51" s="10" t="s">
        <v>206</v>
      </c>
      <c r="I51" s="10">
        <v>-2000</v>
      </c>
      <c r="J51" s="10">
        <v>2000</v>
      </c>
      <c r="K51" s="10">
        <v>0</v>
      </c>
      <c r="L51" s="10" t="s">
        <v>305</v>
      </c>
      <c r="M51" s="6" t="s">
        <v>208</v>
      </c>
      <c r="N51" s="6" t="s">
        <v>308</v>
      </c>
      <c r="O51" s="10" t="str">
        <f t="shared" si="4"/>
        <v>ISP</v>
      </c>
    </row>
    <row r="52" spans="1:15">
      <c r="A52" s="6" t="s">
        <v>309</v>
      </c>
      <c r="B52" s="6" t="s">
        <v>204</v>
      </c>
      <c r="C52" s="6" t="s">
        <v>45</v>
      </c>
      <c r="D52" s="10" t="s">
        <v>205</v>
      </c>
      <c r="E52" s="10">
        <v>1</v>
      </c>
      <c r="F52" s="10" t="s">
        <v>206</v>
      </c>
      <c r="G52" s="10">
        <v>-1</v>
      </c>
      <c r="H52" s="10" t="s">
        <v>206</v>
      </c>
      <c r="I52" s="10">
        <v>-2000</v>
      </c>
      <c r="J52" s="10">
        <v>2000</v>
      </c>
      <c r="K52" s="10">
        <v>0</v>
      </c>
      <c r="L52" s="10" t="s">
        <v>305</v>
      </c>
      <c r="M52" s="6" t="s">
        <v>208</v>
      </c>
      <c r="N52" s="6" t="s">
        <v>310</v>
      </c>
      <c r="O52" s="10" t="str">
        <f t="shared" si="4"/>
        <v>ISP</v>
      </c>
    </row>
    <row r="53" spans="1:15">
      <c r="A53" s="6" t="s">
        <v>311</v>
      </c>
      <c r="B53" s="6" t="s">
        <v>204</v>
      </c>
      <c r="C53" s="6" t="s">
        <v>45</v>
      </c>
      <c r="D53" s="10" t="s">
        <v>205</v>
      </c>
      <c r="E53" s="10">
        <v>1</v>
      </c>
      <c r="F53" s="10" t="s">
        <v>206</v>
      </c>
      <c r="G53" s="10">
        <v>-1</v>
      </c>
      <c r="H53" s="10" t="s">
        <v>206</v>
      </c>
      <c r="I53" s="10">
        <v>-2000</v>
      </c>
      <c r="J53" s="10">
        <v>2000</v>
      </c>
      <c r="K53" s="10">
        <v>0</v>
      </c>
      <c r="L53" s="10" t="s">
        <v>305</v>
      </c>
      <c r="M53" s="6" t="s">
        <v>208</v>
      </c>
      <c r="N53" s="6" t="s">
        <v>312</v>
      </c>
      <c r="O53" s="10" t="str">
        <f t="shared" si="4"/>
        <v>ISP</v>
      </c>
    </row>
    <row r="54" spans="1:15">
      <c r="A54" s="6" t="s">
        <v>313</v>
      </c>
      <c r="B54" s="6" t="s">
        <v>204</v>
      </c>
      <c r="C54" s="6" t="s">
        <v>45</v>
      </c>
      <c r="D54" s="10" t="s">
        <v>205</v>
      </c>
      <c r="E54" s="10">
        <v>1</v>
      </c>
      <c r="F54" s="10" t="s">
        <v>206</v>
      </c>
      <c r="G54" s="10">
        <v>-1</v>
      </c>
      <c r="H54" s="10" t="s">
        <v>206</v>
      </c>
      <c r="I54" s="10">
        <v>-12566</v>
      </c>
      <c r="J54" s="10">
        <v>12566</v>
      </c>
      <c r="K54" s="10">
        <v>0</v>
      </c>
      <c r="L54" s="10" t="s">
        <v>314</v>
      </c>
      <c r="M54" s="6" t="s">
        <v>208</v>
      </c>
      <c r="N54" s="6" t="s">
        <v>310</v>
      </c>
      <c r="O54" s="10" t="str">
        <f t="shared" si="4"/>
        <v>ISP</v>
      </c>
    </row>
    <row r="55" spans="1:15">
      <c r="A55" s="6" t="s">
        <v>315</v>
      </c>
      <c r="B55" s="6" t="s">
        <v>204</v>
      </c>
      <c r="C55" s="6" t="s">
        <v>38</v>
      </c>
      <c r="D55" s="10" t="s">
        <v>205</v>
      </c>
      <c r="E55" s="10">
        <v>1</v>
      </c>
      <c r="F55" s="10" t="s">
        <v>206</v>
      </c>
      <c r="G55" s="10">
        <v>-1</v>
      </c>
      <c r="H55" s="10" t="s">
        <v>206</v>
      </c>
      <c r="I55" s="10">
        <v>0</v>
      </c>
      <c r="J55" s="10">
        <v>1</v>
      </c>
      <c r="K55" s="10">
        <v>0</v>
      </c>
      <c r="L55" s="10" t="s">
        <v>79</v>
      </c>
      <c r="M55" s="6" t="s">
        <v>208</v>
      </c>
      <c r="N55" s="6" t="s">
        <v>316</v>
      </c>
      <c r="O55" s="10" t="str">
        <f t="shared" si="4"/>
        <v>ISP</v>
      </c>
    </row>
    <row r="56" spans="1:15">
      <c r="A56" s="6" t="s">
        <v>317</v>
      </c>
      <c r="B56" s="6" t="s">
        <v>204</v>
      </c>
      <c r="C56" s="6" t="s">
        <v>38</v>
      </c>
      <c r="D56" s="10" t="s">
        <v>205</v>
      </c>
      <c r="E56" s="10">
        <v>1</v>
      </c>
      <c r="F56" s="10" t="s">
        <v>206</v>
      </c>
      <c r="G56" s="10">
        <v>-1</v>
      </c>
      <c r="H56" s="10" t="s">
        <v>206</v>
      </c>
      <c r="I56" s="10">
        <v>0</v>
      </c>
      <c r="J56" s="10">
        <v>1</v>
      </c>
      <c r="K56" s="10">
        <v>0</v>
      </c>
      <c r="L56" s="10" t="s">
        <v>79</v>
      </c>
      <c r="M56" s="6" t="s">
        <v>208</v>
      </c>
      <c r="N56" s="6" t="s">
        <v>318</v>
      </c>
      <c r="O56" s="10" t="str">
        <f t="shared" si="4"/>
        <v>ISP</v>
      </c>
    </row>
    <row r="57" spans="1:15">
      <c r="A57" s="6" t="s">
        <v>319</v>
      </c>
      <c r="B57" s="6" t="s">
        <v>204</v>
      </c>
      <c r="C57" s="6" t="s">
        <v>45</v>
      </c>
      <c r="D57" s="10" t="s">
        <v>205</v>
      </c>
      <c r="E57" s="10">
        <v>1</v>
      </c>
      <c r="F57" s="10" t="s">
        <v>206</v>
      </c>
      <c r="G57" s="10">
        <v>-1</v>
      </c>
      <c r="H57" s="10" t="s">
        <v>206</v>
      </c>
      <c r="I57" s="10">
        <v>-512</v>
      </c>
      <c r="J57" s="10">
        <v>512</v>
      </c>
      <c r="K57" s="10">
        <v>0</v>
      </c>
      <c r="L57" s="10" t="s">
        <v>92</v>
      </c>
      <c r="M57" s="6" t="s">
        <v>208</v>
      </c>
      <c r="N57" s="6" t="s">
        <v>320</v>
      </c>
      <c r="O57" s="10" t="str">
        <f t="shared" si="4"/>
        <v>TCC</v>
      </c>
    </row>
    <row r="58" spans="1:15">
      <c r="A58" s="6" t="s">
        <v>321</v>
      </c>
      <c r="B58" s="6" t="s">
        <v>204</v>
      </c>
      <c r="C58" s="6" t="s">
        <v>45</v>
      </c>
      <c r="D58" s="10" t="s">
        <v>205</v>
      </c>
      <c r="E58" s="10">
        <v>1</v>
      </c>
      <c r="F58" s="10" t="s">
        <v>206</v>
      </c>
      <c r="G58" s="10">
        <v>-1</v>
      </c>
      <c r="H58" s="10" t="s">
        <v>206</v>
      </c>
      <c r="I58" s="10">
        <v>-0.1</v>
      </c>
      <c r="J58" s="10">
        <v>0.1</v>
      </c>
      <c r="K58" s="10">
        <v>0</v>
      </c>
      <c r="L58" s="10" t="s">
        <v>112</v>
      </c>
      <c r="M58" s="6" t="s">
        <v>208</v>
      </c>
      <c r="N58" s="6" t="s">
        <v>322</v>
      </c>
      <c r="O58" s="10" t="str">
        <f t="shared" ref="O58:O106" si="5">MID(A58,1,3)</f>
        <v>PMC</v>
      </c>
    </row>
    <row r="59" spans="1:15">
      <c r="A59" s="6" t="s">
        <v>323</v>
      </c>
      <c r="B59" s="6" t="s">
        <v>204</v>
      </c>
      <c r="C59" s="6" t="s">
        <v>45</v>
      </c>
      <c r="D59" s="10" t="s">
        <v>205</v>
      </c>
      <c r="E59" s="10">
        <v>1</v>
      </c>
      <c r="F59" s="10" t="s">
        <v>206</v>
      </c>
      <c r="G59" s="10">
        <v>-1</v>
      </c>
      <c r="H59" s="10" t="s">
        <v>206</v>
      </c>
      <c r="I59" s="10">
        <v>-0.1</v>
      </c>
      <c r="J59" s="10">
        <v>0.1</v>
      </c>
      <c r="K59" s="10">
        <v>0</v>
      </c>
      <c r="L59" s="10" t="s">
        <v>324</v>
      </c>
      <c r="M59" s="6" t="s">
        <v>208</v>
      </c>
      <c r="N59" s="6" t="s">
        <v>325</v>
      </c>
      <c r="O59" s="10" t="str">
        <f t="shared" si="5"/>
        <v>PMC</v>
      </c>
    </row>
    <row r="60" spans="1:15">
      <c r="A60" s="6" t="s">
        <v>326</v>
      </c>
      <c r="B60" s="6" t="s">
        <v>204</v>
      </c>
      <c r="C60" s="6" t="s">
        <v>45</v>
      </c>
      <c r="D60" s="10" t="s">
        <v>205</v>
      </c>
      <c r="E60" s="10">
        <v>1</v>
      </c>
      <c r="F60" s="10" t="s">
        <v>206</v>
      </c>
      <c r="G60" s="10">
        <v>-1</v>
      </c>
      <c r="H60" s="10" t="s">
        <v>206</v>
      </c>
      <c r="I60" s="10">
        <v>0</v>
      </c>
      <c r="J60" s="10">
        <v>0.2</v>
      </c>
      <c r="K60" s="10">
        <v>0</v>
      </c>
      <c r="L60" s="10" t="s">
        <v>324</v>
      </c>
      <c r="M60" s="6" t="s">
        <v>208</v>
      </c>
      <c r="N60" s="6" t="s">
        <v>327</v>
      </c>
      <c r="O60" s="10" t="str">
        <f t="shared" ref="O60" si="6">MID(A60,1,3)</f>
        <v>PMC</v>
      </c>
    </row>
    <row r="61" spans="1:15">
      <c r="A61" s="6" t="s">
        <v>328</v>
      </c>
      <c r="B61" s="6" t="s">
        <v>204</v>
      </c>
      <c r="C61" s="6" t="s">
        <v>45</v>
      </c>
      <c r="D61" s="10" t="s">
        <v>205</v>
      </c>
      <c r="E61" s="10">
        <v>1</v>
      </c>
      <c r="F61" s="10" t="s">
        <v>206</v>
      </c>
      <c r="G61" s="10">
        <v>-1</v>
      </c>
      <c r="H61" s="10" t="s">
        <v>206</v>
      </c>
      <c r="I61" s="10">
        <v>-0.002</v>
      </c>
      <c r="J61" s="10">
        <v>0.002</v>
      </c>
      <c r="K61" s="10">
        <v>0</v>
      </c>
      <c r="L61" s="10" t="s">
        <v>104</v>
      </c>
      <c r="M61" s="6" t="s">
        <v>208</v>
      </c>
      <c r="N61" s="6" t="s">
        <v>329</v>
      </c>
      <c r="O61" s="10" t="str">
        <f t="shared" si="5"/>
        <v>PMC</v>
      </c>
    </row>
    <row r="62" spans="1:15">
      <c r="A62" s="6" t="s">
        <v>330</v>
      </c>
      <c r="B62" s="6" t="s">
        <v>204</v>
      </c>
      <c r="C62" s="6" t="s">
        <v>45</v>
      </c>
      <c r="D62" s="10" t="s">
        <v>205</v>
      </c>
      <c r="E62" s="10">
        <v>1</v>
      </c>
      <c r="F62" s="10" t="s">
        <v>206</v>
      </c>
      <c r="G62" s="10">
        <v>-1</v>
      </c>
      <c r="H62" s="10" t="s">
        <v>206</v>
      </c>
      <c r="I62" s="10">
        <v>-0.002</v>
      </c>
      <c r="J62" s="10">
        <v>0.002</v>
      </c>
      <c r="K62" s="10">
        <v>0</v>
      </c>
      <c r="L62" s="10" t="s">
        <v>104</v>
      </c>
      <c r="M62" s="6" t="s">
        <v>208</v>
      </c>
      <c r="N62" s="6" t="s">
        <v>331</v>
      </c>
      <c r="O62" s="10" t="str">
        <f t="shared" si="5"/>
        <v>PMC</v>
      </c>
    </row>
    <row r="63" spans="1:15">
      <c r="A63" s="6" t="s">
        <v>332</v>
      </c>
      <c r="B63" s="6" t="s">
        <v>204</v>
      </c>
      <c r="C63" s="6" t="s">
        <v>45</v>
      </c>
      <c r="D63" s="10" t="s">
        <v>205</v>
      </c>
      <c r="E63" s="10">
        <v>1</v>
      </c>
      <c r="F63" s="10" t="s">
        <v>206</v>
      </c>
      <c r="G63" s="10">
        <v>-1</v>
      </c>
      <c r="H63" s="10" t="s">
        <v>206</v>
      </c>
      <c r="I63" s="10">
        <v>-0.002</v>
      </c>
      <c r="J63" s="10">
        <v>0.002</v>
      </c>
      <c r="K63" s="10">
        <v>0</v>
      </c>
      <c r="L63" s="10" t="s">
        <v>104</v>
      </c>
      <c r="M63" s="6" t="s">
        <v>208</v>
      </c>
      <c r="N63" s="6" t="s">
        <v>333</v>
      </c>
      <c r="O63" s="10" t="str">
        <f t="shared" si="5"/>
        <v>PMC</v>
      </c>
    </row>
    <row r="64" spans="1:15">
      <c r="A64" s="6" t="s">
        <v>334</v>
      </c>
      <c r="B64" s="6" t="s">
        <v>204</v>
      </c>
      <c r="C64" s="6" t="s">
        <v>45</v>
      </c>
      <c r="D64" s="10" t="s">
        <v>205</v>
      </c>
      <c r="E64" s="10">
        <v>1</v>
      </c>
      <c r="F64" s="10" t="s">
        <v>206</v>
      </c>
      <c r="G64" s="10">
        <v>-1</v>
      </c>
      <c r="H64" s="10" t="s">
        <v>206</v>
      </c>
      <c r="I64" s="10">
        <v>-0.1</v>
      </c>
      <c r="J64" s="10">
        <v>0.1</v>
      </c>
      <c r="K64" s="10">
        <v>0</v>
      </c>
      <c r="L64" s="10" t="s">
        <v>112</v>
      </c>
      <c r="M64" s="6" t="s">
        <v>208</v>
      </c>
      <c r="N64" s="6" t="s">
        <v>335</v>
      </c>
      <c r="O64" s="10" t="str">
        <f t="shared" si="5"/>
        <v>PMC</v>
      </c>
    </row>
    <row r="65" spans="1:15">
      <c r="A65" s="6" t="s">
        <v>336</v>
      </c>
      <c r="B65" s="6" t="s">
        <v>204</v>
      </c>
      <c r="C65" s="6" t="s">
        <v>45</v>
      </c>
      <c r="D65" s="10" t="s">
        <v>205</v>
      </c>
      <c r="E65" s="10">
        <v>1</v>
      </c>
      <c r="F65" s="10" t="s">
        <v>206</v>
      </c>
      <c r="G65" s="10">
        <v>-1</v>
      </c>
      <c r="H65" s="10" t="s">
        <v>206</v>
      </c>
      <c r="I65" s="10">
        <v>-0.04</v>
      </c>
      <c r="J65" s="10">
        <v>0.04</v>
      </c>
      <c r="K65" s="10">
        <v>0</v>
      </c>
      <c r="L65" s="10" t="s">
        <v>324</v>
      </c>
      <c r="M65" s="6" t="s">
        <v>208</v>
      </c>
      <c r="N65" s="6" t="s">
        <v>337</v>
      </c>
      <c r="O65" s="10" t="str">
        <f t="shared" si="5"/>
        <v>PMC</v>
      </c>
    </row>
    <row r="66" spans="1:15">
      <c r="A66" s="6" t="s">
        <v>338</v>
      </c>
      <c r="B66" s="6" t="s">
        <v>204</v>
      </c>
      <c r="C66" s="6" t="s">
        <v>45</v>
      </c>
      <c r="D66" s="10" t="s">
        <v>205</v>
      </c>
      <c r="E66" s="10">
        <v>1</v>
      </c>
      <c r="F66" s="10" t="s">
        <v>206</v>
      </c>
      <c r="G66" s="10">
        <v>-1</v>
      </c>
      <c r="H66" s="10" t="s">
        <v>206</v>
      </c>
      <c r="I66" s="10">
        <v>-0.002</v>
      </c>
      <c r="J66" s="10">
        <v>0.002</v>
      </c>
      <c r="K66" s="10">
        <v>0</v>
      </c>
      <c r="L66" s="10" t="s">
        <v>104</v>
      </c>
      <c r="M66" s="6" t="s">
        <v>208</v>
      </c>
      <c r="N66" s="6" t="s">
        <v>339</v>
      </c>
      <c r="O66" s="10" t="str">
        <f t="shared" si="5"/>
        <v>PMC</v>
      </c>
    </row>
    <row r="67" spans="1:15">
      <c r="A67" s="6" t="s">
        <v>340</v>
      </c>
      <c r="B67" s="6" t="s">
        <v>204</v>
      </c>
      <c r="C67" s="6" t="s">
        <v>45</v>
      </c>
      <c r="D67" s="10" t="s">
        <v>205</v>
      </c>
      <c r="E67" s="10">
        <v>1</v>
      </c>
      <c r="F67" s="10" t="s">
        <v>206</v>
      </c>
      <c r="G67" s="10">
        <v>-1</v>
      </c>
      <c r="H67" s="10" t="s">
        <v>206</v>
      </c>
      <c r="I67" s="10">
        <v>-0.002</v>
      </c>
      <c r="J67" s="10">
        <v>0.002</v>
      </c>
      <c r="K67" s="10">
        <v>0</v>
      </c>
      <c r="L67" s="10" t="s">
        <v>104</v>
      </c>
      <c r="M67" s="6" t="s">
        <v>208</v>
      </c>
      <c r="N67" s="6" t="s">
        <v>341</v>
      </c>
      <c r="O67" s="10" t="str">
        <f t="shared" si="5"/>
        <v>PMC</v>
      </c>
    </row>
    <row r="68" spans="1:15">
      <c r="A68" s="6" t="s">
        <v>342</v>
      </c>
      <c r="B68" s="6" t="s">
        <v>204</v>
      </c>
      <c r="C68" s="6" t="s">
        <v>45</v>
      </c>
      <c r="D68" s="10" t="s">
        <v>205</v>
      </c>
      <c r="E68" s="10">
        <v>1</v>
      </c>
      <c r="F68" s="10" t="s">
        <v>206</v>
      </c>
      <c r="G68" s="10">
        <v>-1</v>
      </c>
      <c r="H68" s="10" t="s">
        <v>206</v>
      </c>
      <c r="I68" s="10">
        <v>-0.002</v>
      </c>
      <c r="J68" s="10">
        <v>0.002</v>
      </c>
      <c r="K68" s="10">
        <v>0</v>
      </c>
      <c r="L68" s="10" t="s">
        <v>104</v>
      </c>
      <c r="M68" s="6" t="s">
        <v>208</v>
      </c>
      <c r="N68" s="6" t="s">
        <v>343</v>
      </c>
      <c r="O68" s="10" t="str">
        <f t="shared" si="5"/>
        <v>PMC</v>
      </c>
    </row>
    <row r="69" spans="1:15">
      <c r="A69" s="6" t="s">
        <v>344</v>
      </c>
      <c r="B69" s="6" t="s">
        <v>204</v>
      </c>
      <c r="C69" s="6" t="s">
        <v>45</v>
      </c>
      <c r="D69" s="10" t="s">
        <v>205</v>
      </c>
      <c r="E69" s="10">
        <v>1</v>
      </c>
      <c r="F69" s="10" t="s">
        <v>206</v>
      </c>
      <c r="G69" s="10">
        <v>-1</v>
      </c>
      <c r="H69" s="10" t="s">
        <v>206</v>
      </c>
      <c r="I69" s="10">
        <v>-1000</v>
      </c>
      <c r="J69" s="10">
        <v>1000</v>
      </c>
      <c r="K69" s="10">
        <v>0</v>
      </c>
      <c r="L69" s="10" t="s">
        <v>99</v>
      </c>
      <c r="M69" s="6" t="s">
        <v>208</v>
      </c>
      <c r="N69" s="6" t="s">
        <v>345</v>
      </c>
      <c r="O69" s="10" t="str">
        <f t="shared" si="5"/>
        <v>PMC</v>
      </c>
    </row>
    <row r="70" spans="1:15">
      <c r="A70" s="6" t="s">
        <v>346</v>
      </c>
      <c r="B70" s="6" t="s">
        <v>204</v>
      </c>
      <c r="C70" s="6" t="s">
        <v>45</v>
      </c>
      <c r="D70" s="10" t="s">
        <v>205</v>
      </c>
      <c r="E70" s="10">
        <v>1</v>
      </c>
      <c r="F70" s="10" t="s">
        <v>206</v>
      </c>
      <c r="G70" s="10">
        <v>-1</v>
      </c>
      <c r="H70" s="10" t="s">
        <v>206</v>
      </c>
      <c r="I70" s="10">
        <v>-1000</v>
      </c>
      <c r="J70" s="10">
        <v>1000</v>
      </c>
      <c r="K70" s="10">
        <v>0</v>
      </c>
      <c r="L70" s="10" t="s">
        <v>99</v>
      </c>
      <c r="M70" s="6" t="s">
        <v>208</v>
      </c>
      <c r="N70" s="6" t="s">
        <v>347</v>
      </c>
      <c r="O70" s="10" t="str">
        <f t="shared" si="5"/>
        <v>PMC</v>
      </c>
    </row>
    <row r="71" spans="1:15">
      <c r="A71" s="6" t="s">
        <v>348</v>
      </c>
      <c r="B71" s="6" t="s">
        <v>204</v>
      </c>
      <c r="C71" s="6" t="s">
        <v>45</v>
      </c>
      <c r="D71" s="10" t="s">
        <v>205</v>
      </c>
      <c r="E71" s="10">
        <v>1</v>
      </c>
      <c r="F71" s="10" t="s">
        <v>206</v>
      </c>
      <c r="G71" s="10">
        <v>-1</v>
      </c>
      <c r="H71" s="10" t="s">
        <v>206</v>
      </c>
      <c r="I71" s="10">
        <v>-1000</v>
      </c>
      <c r="J71" s="10">
        <v>1000</v>
      </c>
      <c r="K71" s="10">
        <v>0</v>
      </c>
      <c r="L71" s="10" t="s">
        <v>99</v>
      </c>
      <c r="M71" s="6" t="s">
        <v>208</v>
      </c>
      <c r="N71" s="6" t="s">
        <v>349</v>
      </c>
      <c r="O71" s="10" t="str">
        <f t="shared" si="5"/>
        <v>PMC</v>
      </c>
    </row>
    <row r="72" spans="1:15">
      <c r="A72" s="6" t="s">
        <v>350</v>
      </c>
      <c r="B72" s="6" t="s">
        <v>204</v>
      </c>
      <c r="C72" s="6" t="s">
        <v>45</v>
      </c>
      <c r="D72" s="10" t="s">
        <v>205</v>
      </c>
      <c r="E72" s="10">
        <v>1</v>
      </c>
      <c r="F72" s="10" t="s">
        <v>206</v>
      </c>
      <c r="G72" s="10">
        <v>-1</v>
      </c>
      <c r="H72" s="10" t="s">
        <v>206</v>
      </c>
      <c r="I72" s="10">
        <v>-512</v>
      </c>
      <c r="J72" s="10">
        <v>512</v>
      </c>
      <c r="K72" s="10">
        <v>0</v>
      </c>
      <c r="L72" s="10" t="s">
        <v>92</v>
      </c>
      <c r="M72" s="6" t="s">
        <v>208</v>
      </c>
      <c r="N72" s="6" t="s">
        <v>351</v>
      </c>
      <c r="O72" s="10" t="str">
        <f t="shared" si="5"/>
        <v>PMC</v>
      </c>
    </row>
    <row r="73" spans="1:15">
      <c r="A73" s="6" t="s">
        <v>352</v>
      </c>
      <c r="B73" s="6" t="s">
        <v>204</v>
      </c>
      <c r="C73" s="6" t="s">
        <v>45</v>
      </c>
      <c r="D73" s="10" t="s">
        <v>205</v>
      </c>
      <c r="E73" s="10">
        <v>1</v>
      </c>
      <c r="F73" s="10" t="s">
        <v>206</v>
      </c>
      <c r="G73" s="10">
        <v>-1</v>
      </c>
      <c r="H73" s="10" t="s">
        <v>206</v>
      </c>
      <c r="I73" s="10">
        <v>-512</v>
      </c>
      <c r="J73" s="10">
        <v>512</v>
      </c>
      <c r="K73" s="10">
        <v>0</v>
      </c>
      <c r="L73" s="10" t="s">
        <v>92</v>
      </c>
      <c r="M73" s="6" t="s">
        <v>208</v>
      </c>
      <c r="N73" s="6" t="s">
        <v>353</v>
      </c>
      <c r="O73" s="10" t="str">
        <f t="shared" si="5"/>
        <v>PMC</v>
      </c>
    </row>
    <row r="74" spans="1:15">
      <c r="A74" s="6" t="s">
        <v>354</v>
      </c>
      <c r="B74" s="6" t="s">
        <v>204</v>
      </c>
      <c r="C74" s="6" t="s">
        <v>45</v>
      </c>
      <c r="D74" s="10" t="s">
        <v>205</v>
      </c>
      <c r="E74" s="10">
        <v>1</v>
      </c>
      <c r="F74" s="10" t="s">
        <v>206</v>
      </c>
      <c r="G74" s="10">
        <v>-1</v>
      </c>
      <c r="H74" s="10" t="s">
        <v>206</v>
      </c>
      <c r="I74" s="10">
        <v>-1</v>
      </c>
      <c r="J74" s="10">
        <v>1</v>
      </c>
      <c r="K74" s="10">
        <v>0</v>
      </c>
      <c r="L74" s="10" t="s">
        <v>79</v>
      </c>
      <c r="M74" s="6" t="s">
        <v>208</v>
      </c>
      <c r="N74" s="6" t="s">
        <v>355</v>
      </c>
      <c r="O74" s="10" t="str">
        <f t="shared" si="5"/>
        <v>PMC</v>
      </c>
    </row>
    <row r="75" spans="1:15">
      <c r="A75" s="6" t="s">
        <v>356</v>
      </c>
      <c r="B75" s="6" t="s">
        <v>204</v>
      </c>
      <c r="C75" s="6" t="s">
        <v>45</v>
      </c>
      <c r="D75" s="10" t="s">
        <v>205</v>
      </c>
      <c r="E75" s="10">
        <v>1</v>
      </c>
      <c r="F75" s="10" t="s">
        <v>206</v>
      </c>
      <c r="G75" s="10">
        <v>-1</v>
      </c>
      <c r="H75" s="10" t="s">
        <v>206</v>
      </c>
      <c r="I75" s="10">
        <v>-1</v>
      </c>
      <c r="J75" s="10">
        <v>1</v>
      </c>
      <c r="K75" s="10">
        <v>0</v>
      </c>
      <c r="L75" s="10" t="s">
        <v>79</v>
      </c>
      <c r="M75" s="6" t="s">
        <v>208</v>
      </c>
      <c r="N75" s="6" t="s">
        <v>357</v>
      </c>
      <c r="O75" s="10" t="str">
        <f t="shared" si="5"/>
        <v>PMC</v>
      </c>
    </row>
    <row r="76" spans="1:15">
      <c r="A76" s="6" t="s">
        <v>358</v>
      </c>
      <c r="B76" s="6" t="s">
        <v>204</v>
      </c>
      <c r="C76" s="6" t="s">
        <v>45</v>
      </c>
      <c r="D76" s="10" t="s">
        <v>205</v>
      </c>
      <c r="E76" s="10">
        <v>1</v>
      </c>
      <c r="F76" s="10" t="s">
        <v>206</v>
      </c>
      <c r="G76" s="10">
        <v>-1</v>
      </c>
      <c r="H76" s="10" t="s">
        <v>206</v>
      </c>
      <c r="I76" s="10">
        <v>-100</v>
      </c>
      <c r="J76" s="10">
        <v>100</v>
      </c>
      <c r="K76" s="10">
        <v>0</v>
      </c>
      <c r="L76" s="10" t="s">
        <v>79</v>
      </c>
      <c r="M76" s="6" t="s">
        <v>208</v>
      </c>
      <c r="N76" s="6" t="s">
        <v>359</v>
      </c>
      <c r="O76" s="10" t="str">
        <f t="shared" si="5"/>
        <v>PMC</v>
      </c>
    </row>
    <row r="77" spans="1:15">
      <c r="A77" s="6" t="s">
        <v>360</v>
      </c>
      <c r="B77" s="6" t="s">
        <v>204</v>
      </c>
      <c r="C77" s="6" t="s">
        <v>45</v>
      </c>
      <c r="D77" s="10" t="s">
        <v>205</v>
      </c>
      <c r="E77" s="10">
        <v>1</v>
      </c>
      <c r="F77" s="10" t="s">
        <v>206</v>
      </c>
      <c r="G77" s="10">
        <v>-1</v>
      </c>
      <c r="H77" s="10" t="s">
        <v>206</v>
      </c>
      <c r="I77" s="10">
        <v>-100</v>
      </c>
      <c r="J77" s="10">
        <v>100</v>
      </c>
      <c r="K77" s="10">
        <v>0</v>
      </c>
      <c r="L77" s="10" t="s">
        <v>79</v>
      </c>
      <c r="M77" s="6" t="s">
        <v>208</v>
      </c>
      <c r="N77" s="6" t="s">
        <v>361</v>
      </c>
      <c r="O77" s="10" t="str">
        <f t="shared" si="5"/>
        <v>PMC</v>
      </c>
    </row>
    <row r="78" spans="1:15">
      <c r="A78" s="6" t="s">
        <v>362</v>
      </c>
      <c r="B78" s="6" t="s">
        <v>204</v>
      </c>
      <c r="C78" s="6" t="s">
        <v>45</v>
      </c>
      <c r="D78" s="10" t="s">
        <v>205</v>
      </c>
      <c r="E78" s="10">
        <v>1</v>
      </c>
      <c r="F78" s="10" t="s">
        <v>206</v>
      </c>
      <c r="G78" s="10">
        <v>-1</v>
      </c>
      <c r="H78" s="10" t="s">
        <v>206</v>
      </c>
      <c r="I78" s="10">
        <v>-1</v>
      </c>
      <c r="J78" s="10">
        <v>1</v>
      </c>
      <c r="K78" s="10">
        <v>0</v>
      </c>
      <c r="L78" s="10" t="s">
        <v>79</v>
      </c>
      <c r="M78" s="6" t="s">
        <v>208</v>
      </c>
      <c r="N78" s="6" t="s">
        <v>363</v>
      </c>
      <c r="O78" s="10" t="str">
        <f t="shared" si="5"/>
        <v>PMC</v>
      </c>
    </row>
    <row r="79" spans="1:15">
      <c r="A79" s="6" t="s">
        <v>364</v>
      </c>
      <c r="B79" s="6" t="s">
        <v>204</v>
      </c>
      <c r="C79" s="6" t="s">
        <v>45</v>
      </c>
      <c r="D79" s="10" t="s">
        <v>205</v>
      </c>
      <c r="E79" s="10">
        <v>1</v>
      </c>
      <c r="F79" s="10" t="s">
        <v>206</v>
      </c>
      <c r="G79" s="10">
        <v>-1</v>
      </c>
      <c r="H79" s="10" t="s">
        <v>206</v>
      </c>
      <c r="I79" s="10">
        <v>-1</v>
      </c>
      <c r="J79" s="10">
        <v>1</v>
      </c>
      <c r="K79" s="10">
        <v>0</v>
      </c>
      <c r="L79" s="10" t="s">
        <v>79</v>
      </c>
      <c r="M79" s="6" t="s">
        <v>208</v>
      </c>
      <c r="N79" s="6" t="s">
        <v>365</v>
      </c>
      <c r="O79" s="10" t="str">
        <f t="shared" si="5"/>
        <v>PMC</v>
      </c>
    </row>
    <row r="80" spans="1:15">
      <c r="A80" s="6" t="s">
        <v>366</v>
      </c>
      <c r="B80" s="6" t="s">
        <v>204</v>
      </c>
      <c r="C80" s="6" t="s">
        <v>45</v>
      </c>
      <c r="D80" s="10" t="s">
        <v>205</v>
      </c>
      <c r="E80" s="10">
        <v>1</v>
      </c>
      <c r="F80" s="10" t="s">
        <v>206</v>
      </c>
      <c r="G80" s="10">
        <v>-1</v>
      </c>
      <c r="H80" s="10" t="s">
        <v>206</v>
      </c>
      <c r="I80" s="10">
        <v>0</v>
      </c>
      <c r="J80" s="10">
        <v>1000</v>
      </c>
      <c r="K80" s="10">
        <v>0</v>
      </c>
      <c r="L80" s="10" t="s">
        <v>298</v>
      </c>
      <c r="M80" s="6" t="s">
        <v>208</v>
      </c>
      <c r="N80" s="6" t="s">
        <v>367</v>
      </c>
      <c r="O80" s="10" t="str">
        <f t="shared" si="5"/>
        <v>PMC</v>
      </c>
    </row>
    <row r="81" spans="1:15">
      <c r="A81" s="6" t="s">
        <v>368</v>
      </c>
      <c r="B81" s="6" t="s">
        <v>204</v>
      </c>
      <c r="C81" s="6" t="s">
        <v>45</v>
      </c>
      <c r="D81" s="10" t="s">
        <v>205</v>
      </c>
      <c r="E81" s="10">
        <v>1</v>
      </c>
      <c r="F81" s="10" t="s">
        <v>206</v>
      </c>
      <c r="G81" s="10">
        <v>-1</v>
      </c>
      <c r="H81" s="10" t="s">
        <v>206</v>
      </c>
      <c r="I81" s="10">
        <v>-250</v>
      </c>
      <c r="J81" s="10">
        <v>250</v>
      </c>
      <c r="K81" s="10">
        <v>0</v>
      </c>
      <c r="L81" s="10" t="s">
        <v>298</v>
      </c>
      <c r="M81" s="6" t="s">
        <v>208</v>
      </c>
      <c r="N81" s="6" t="s">
        <v>369</v>
      </c>
      <c r="O81" s="10" t="str">
        <f t="shared" si="5"/>
        <v>PMC</v>
      </c>
    </row>
    <row r="82" spans="1:15">
      <c r="A82" s="6" t="s">
        <v>370</v>
      </c>
      <c r="B82" s="6" t="s">
        <v>204</v>
      </c>
      <c r="C82" s="6" t="s">
        <v>45</v>
      </c>
      <c r="D82" s="10" t="s">
        <v>205</v>
      </c>
      <c r="E82" s="10">
        <v>1</v>
      </c>
      <c r="F82" s="10" t="s">
        <v>206</v>
      </c>
      <c r="G82" s="10">
        <v>-1</v>
      </c>
      <c r="H82" s="10" t="s">
        <v>206</v>
      </c>
      <c r="I82" s="10">
        <v>-250</v>
      </c>
      <c r="J82" s="10">
        <v>250</v>
      </c>
      <c r="K82" s="10">
        <v>0</v>
      </c>
      <c r="L82" s="10" t="s">
        <v>298</v>
      </c>
      <c r="M82" s="6" t="s">
        <v>208</v>
      </c>
      <c r="N82" s="6" t="s">
        <v>371</v>
      </c>
      <c r="O82" s="10" t="str">
        <f t="shared" si="5"/>
        <v>PMC</v>
      </c>
    </row>
    <row r="83" spans="1:15">
      <c r="A83" s="6" t="s">
        <v>372</v>
      </c>
      <c r="B83" s="6" t="s">
        <v>204</v>
      </c>
      <c r="C83" s="6" t="s">
        <v>45</v>
      </c>
      <c r="D83" s="10" t="s">
        <v>205</v>
      </c>
      <c r="E83" s="10">
        <v>1</v>
      </c>
      <c r="F83" s="10" t="s">
        <v>206</v>
      </c>
      <c r="G83" s="10">
        <v>-1</v>
      </c>
      <c r="H83" s="10" t="s">
        <v>206</v>
      </c>
      <c r="I83" s="10">
        <v>-1</v>
      </c>
      <c r="J83" s="10">
        <v>1</v>
      </c>
      <c r="K83" s="10">
        <v>0</v>
      </c>
      <c r="L83" s="10" t="s">
        <v>298</v>
      </c>
      <c r="M83" s="6" t="s">
        <v>208</v>
      </c>
      <c r="N83" s="6" t="s">
        <v>373</v>
      </c>
      <c r="O83" s="10" t="str">
        <f t="shared" si="5"/>
        <v>PMC</v>
      </c>
    </row>
    <row r="84" spans="1:15">
      <c r="A84" s="6" t="s">
        <v>374</v>
      </c>
      <c r="B84" s="6" t="s">
        <v>204</v>
      </c>
      <c r="C84" s="6" t="s">
        <v>45</v>
      </c>
      <c r="D84" s="10" t="s">
        <v>205</v>
      </c>
      <c r="E84" s="10">
        <v>1</v>
      </c>
      <c r="F84" s="10" t="s">
        <v>206</v>
      </c>
      <c r="G84" s="10">
        <v>-1</v>
      </c>
      <c r="H84" s="10" t="s">
        <v>206</v>
      </c>
      <c r="I84" s="10">
        <v>-1.1</v>
      </c>
      <c r="J84" s="10">
        <v>1.1</v>
      </c>
      <c r="K84" s="10">
        <v>0</v>
      </c>
      <c r="L84" s="10" t="s">
        <v>298</v>
      </c>
      <c r="M84" s="6" t="s">
        <v>208</v>
      </c>
      <c r="N84" s="6" t="s">
        <v>375</v>
      </c>
      <c r="O84" s="10" t="str">
        <f t="shared" si="5"/>
        <v>PMC</v>
      </c>
    </row>
    <row r="85" spans="1:15">
      <c r="A85" s="6" t="s">
        <v>376</v>
      </c>
      <c r="B85" s="6" t="s">
        <v>204</v>
      </c>
      <c r="C85" s="6" t="s">
        <v>45</v>
      </c>
      <c r="D85" s="10" t="s">
        <v>205</v>
      </c>
      <c r="E85" s="10">
        <v>1</v>
      </c>
      <c r="F85" s="10" t="s">
        <v>206</v>
      </c>
      <c r="G85" s="10">
        <v>-1</v>
      </c>
      <c r="H85" s="10" t="s">
        <v>206</v>
      </c>
      <c r="I85" s="10">
        <v>-1.1</v>
      </c>
      <c r="J85" s="10">
        <v>1.1</v>
      </c>
      <c r="K85" s="10">
        <v>0</v>
      </c>
      <c r="L85" s="10" t="s">
        <v>298</v>
      </c>
      <c r="M85" s="6" t="s">
        <v>208</v>
      </c>
      <c r="N85" s="6" t="s">
        <v>377</v>
      </c>
      <c r="O85" s="10" t="str">
        <f t="shared" ref="O85:O90" si="7">MID(A85,1,3)</f>
        <v>PMC</v>
      </c>
    </row>
    <row r="86" spans="1:15">
      <c r="A86" s="6" t="s">
        <v>378</v>
      </c>
      <c r="B86" s="6" t="s">
        <v>204</v>
      </c>
      <c r="C86" s="6" t="s">
        <v>45</v>
      </c>
      <c r="D86" s="10" t="s">
        <v>205</v>
      </c>
      <c r="E86" s="10">
        <v>1</v>
      </c>
      <c r="F86" s="10" t="s">
        <v>206</v>
      </c>
      <c r="G86" s="10">
        <v>-1</v>
      </c>
      <c r="H86" s="10" t="s">
        <v>206</v>
      </c>
      <c r="I86" s="10">
        <v>-1000</v>
      </c>
      <c r="J86" s="10">
        <v>1000</v>
      </c>
      <c r="K86" s="10">
        <v>0</v>
      </c>
      <c r="L86" s="10" t="s">
        <v>99</v>
      </c>
      <c r="M86" s="6" t="s">
        <v>208</v>
      </c>
      <c r="N86" s="6" t="s">
        <v>248</v>
      </c>
      <c r="O86" s="10" t="str">
        <f t="shared" si="7"/>
        <v>PMC</v>
      </c>
    </row>
    <row r="87" spans="1:15">
      <c r="A87" s="6" t="s">
        <v>379</v>
      </c>
      <c r="B87" s="6" t="s">
        <v>204</v>
      </c>
      <c r="C87" s="6" t="s">
        <v>45</v>
      </c>
      <c r="D87" s="10" t="s">
        <v>205</v>
      </c>
      <c r="E87" s="10">
        <v>1</v>
      </c>
      <c r="F87" s="10" t="s">
        <v>206</v>
      </c>
      <c r="G87" s="10">
        <v>-1</v>
      </c>
      <c r="H87" s="10" t="s">
        <v>206</v>
      </c>
      <c r="I87" s="10">
        <v>-1000</v>
      </c>
      <c r="J87" s="10">
        <v>1000</v>
      </c>
      <c r="K87" s="10">
        <v>0</v>
      </c>
      <c r="L87" s="10" t="s">
        <v>99</v>
      </c>
      <c r="M87" s="6" t="s">
        <v>208</v>
      </c>
      <c r="N87" s="6" t="s">
        <v>252</v>
      </c>
      <c r="O87" s="10" t="str">
        <f t="shared" si="7"/>
        <v>PMC</v>
      </c>
    </row>
    <row r="88" spans="1:15">
      <c r="A88" s="6" t="s">
        <v>380</v>
      </c>
      <c r="B88" s="6" t="s">
        <v>204</v>
      </c>
      <c r="C88" s="6" t="s">
        <v>45</v>
      </c>
      <c r="D88" s="10" t="s">
        <v>205</v>
      </c>
      <c r="E88" s="10">
        <v>1</v>
      </c>
      <c r="F88" s="10" t="s">
        <v>206</v>
      </c>
      <c r="G88" s="10">
        <v>-1</v>
      </c>
      <c r="H88" s="10" t="s">
        <v>206</v>
      </c>
      <c r="I88" s="10">
        <v>-1000</v>
      </c>
      <c r="J88" s="10">
        <v>1000</v>
      </c>
      <c r="K88" s="10">
        <v>0</v>
      </c>
      <c r="L88" s="10" t="s">
        <v>99</v>
      </c>
      <c r="M88" s="6" t="s">
        <v>208</v>
      </c>
      <c r="N88" s="6" t="s">
        <v>252</v>
      </c>
      <c r="O88" s="10" t="str">
        <f t="shared" si="7"/>
        <v>PMC</v>
      </c>
    </row>
    <row r="89" spans="1:15">
      <c r="A89" s="6" t="s">
        <v>381</v>
      </c>
      <c r="B89" s="6" t="s">
        <v>204</v>
      </c>
      <c r="C89" s="6" t="s">
        <v>45</v>
      </c>
      <c r="D89" s="10" t="s">
        <v>205</v>
      </c>
      <c r="E89" s="10">
        <v>1</v>
      </c>
      <c r="F89" s="10" t="s">
        <v>206</v>
      </c>
      <c r="G89" s="10">
        <v>-1</v>
      </c>
      <c r="H89" s="10" t="s">
        <v>206</v>
      </c>
      <c r="I89" s="10">
        <v>-1.1</v>
      </c>
      <c r="J89" s="10">
        <v>1.1</v>
      </c>
      <c r="K89" s="10">
        <v>0</v>
      </c>
      <c r="L89" s="10" t="s">
        <v>298</v>
      </c>
      <c r="M89" s="6" t="s">
        <v>208</v>
      </c>
      <c r="N89" s="6" t="s">
        <v>375</v>
      </c>
      <c r="O89" s="10" t="str">
        <f t="shared" si="7"/>
        <v>PMC</v>
      </c>
    </row>
    <row r="90" spans="1:15">
      <c r="A90" s="6" t="s">
        <v>382</v>
      </c>
      <c r="B90" s="6" t="s">
        <v>204</v>
      </c>
      <c r="C90" s="6" t="s">
        <v>45</v>
      </c>
      <c r="D90" s="10" t="s">
        <v>205</v>
      </c>
      <c r="E90" s="10">
        <v>1</v>
      </c>
      <c r="F90" s="10" t="s">
        <v>206</v>
      </c>
      <c r="G90" s="10">
        <v>-1</v>
      </c>
      <c r="H90" s="10" t="s">
        <v>206</v>
      </c>
      <c r="I90" s="10">
        <v>-1.1</v>
      </c>
      <c r="J90" s="10">
        <v>1.1</v>
      </c>
      <c r="K90" s="10">
        <v>0</v>
      </c>
      <c r="L90" s="10" t="s">
        <v>298</v>
      </c>
      <c r="M90" s="6" t="s">
        <v>208</v>
      </c>
      <c r="N90" s="6" t="s">
        <v>377</v>
      </c>
      <c r="O90" s="10" t="str">
        <f t="shared" si="7"/>
        <v>PMC</v>
      </c>
    </row>
    <row r="91" ht="11.25" customHeight="1" spans="1:15">
      <c r="A91" s="6" t="s">
        <v>383</v>
      </c>
      <c r="B91" s="6" t="s">
        <v>204</v>
      </c>
      <c r="C91" s="6" t="s">
        <v>46</v>
      </c>
      <c r="D91" s="10" t="s">
        <v>205</v>
      </c>
      <c r="E91" s="10">
        <v>1</v>
      </c>
      <c r="F91" s="10" t="s">
        <v>206</v>
      </c>
      <c r="G91" s="10">
        <v>-1</v>
      </c>
      <c r="H91" s="10" t="s">
        <v>206</v>
      </c>
      <c r="I91" s="10">
        <v>0</v>
      </c>
      <c r="J91" s="10">
        <v>1</v>
      </c>
      <c r="K91" s="10">
        <v>0</v>
      </c>
      <c r="L91" s="10" t="s">
        <v>79</v>
      </c>
      <c r="M91" s="6" t="s">
        <v>208</v>
      </c>
      <c r="N91" s="6" t="s">
        <v>384</v>
      </c>
      <c r="O91" s="10" t="str">
        <f t="shared" si="5"/>
        <v>PMC</v>
      </c>
    </row>
    <row r="92" spans="1:15">
      <c r="A92" s="6" t="s">
        <v>385</v>
      </c>
      <c r="B92" s="6" t="s">
        <v>204</v>
      </c>
      <c r="C92" s="6" t="s">
        <v>46</v>
      </c>
      <c r="D92" s="10" t="s">
        <v>205</v>
      </c>
      <c r="E92" s="10">
        <v>1</v>
      </c>
      <c r="F92" s="10" t="s">
        <v>386</v>
      </c>
      <c r="G92" s="10">
        <v>-1</v>
      </c>
      <c r="H92" s="10" t="s">
        <v>206</v>
      </c>
      <c r="I92" s="10">
        <v>0</v>
      </c>
      <c r="J92" s="10">
        <v>1</v>
      </c>
      <c r="K92" s="10">
        <v>1</v>
      </c>
      <c r="L92" s="10" t="s">
        <v>79</v>
      </c>
      <c r="M92" s="6" t="s">
        <v>208</v>
      </c>
      <c r="N92" s="6" t="s">
        <v>387</v>
      </c>
      <c r="O92" s="10" t="str">
        <f t="shared" si="5"/>
        <v>PMC</v>
      </c>
    </row>
    <row r="93" spans="1:15">
      <c r="A93" s="6" t="s">
        <v>388</v>
      </c>
      <c r="B93" s="6" t="s">
        <v>204</v>
      </c>
      <c r="C93" s="6" t="s">
        <v>45</v>
      </c>
      <c r="D93" s="10" t="s">
        <v>205</v>
      </c>
      <c r="E93" s="10">
        <v>1</v>
      </c>
      <c r="F93" s="10" t="s">
        <v>386</v>
      </c>
      <c r="G93" s="10">
        <v>-1</v>
      </c>
      <c r="H93" s="10" t="s">
        <v>206</v>
      </c>
      <c r="I93" s="10">
        <v>0</v>
      </c>
      <c r="J93" s="10">
        <v>1000</v>
      </c>
      <c r="K93" s="10">
        <v>0</v>
      </c>
      <c r="L93" s="10" t="s">
        <v>389</v>
      </c>
      <c r="M93" s="6" t="s">
        <v>208</v>
      </c>
      <c r="N93" s="6" t="s">
        <v>390</v>
      </c>
      <c r="O93" s="10" t="str">
        <f t="shared" si="5"/>
        <v>PMC</v>
      </c>
    </row>
    <row r="94" spans="1:15">
      <c r="A94" s="6" t="s">
        <v>391</v>
      </c>
      <c r="B94" s="6" t="s">
        <v>204</v>
      </c>
      <c r="C94" s="6" t="s">
        <v>45</v>
      </c>
      <c r="D94" s="10" t="s">
        <v>205</v>
      </c>
      <c r="E94" s="10">
        <v>1</v>
      </c>
      <c r="F94" s="10" t="s">
        <v>206</v>
      </c>
      <c r="G94" s="10">
        <v>-1</v>
      </c>
      <c r="H94" s="10" t="s">
        <v>206</v>
      </c>
      <c r="I94" s="10">
        <v>-512</v>
      </c>
      <c r="J94" s="10">
        <v>512</v>
      </c>
      <c r="K94" s="10">
        <v>0</v>
      </c>
      <c r="L94" s="10" t="s">
        <v>92</v>
      </c>
      <c r="M94" s="6" t="s">
        <v>208</v>
      </c>
      <c r="N94" s="6" t="s">
        <v>392</v>
      </c>
      <c r="O94" s="10" t="str">
        <f t="shared" si="5"/>
        <v>PMC</v>
      </c>
    </row>
    <row r="95" spans="1:15">
      <c r="A95" s="6" t="s">
        <v>393</v>
      </c>
      <c r="B95" s="6" t="s">
        <v>204</v>
      </c>
      <c r="C95" s="6" t="s">
        <v>45</v>
      </c>
      <c r="D95" s="10" t="s">
        <v>205</v>
      </c>
      <c r="E95" s="10">
        <v>1</v>
      </c>
      <c r="F95" s="10" t="s">
        <v>206</v>
      </c>
      <c r="G95" s="10">
        <v>-1</v>
      </c>
      <c r="H95" s="10" t="s">
        <v>206</v>
      </c>
      <c r="I95" s="10">
        <v>-1.1</v>
      </c>
      <c r="J95" s="10">
        <v>1.1</v>
      </c>
      <c r="K95" s="10">
        <v>0</v>
      </c>
      <c r="L95" s="10" t="s">
        <v>79</v>
      </c>
      <c r="M95" s="6" t="s">
        <v>208</v>
      </c>
      <c r="N95" s="6" t="s">
        <v>394</v>
      </c>
      <c r="O95" s="10" t="str">
        <f t="shared" si="5"/>
        <v>SVM</v>
      </c>
    </row>
    <row r="96" spans="1:15">
      <c r="A96" s="6" t="s">
        <v>395</v>
      </c>
      <c r="B96" s="6" t="s">
        <v>204</v>
      </c>
      <c r="C96" s="6" t="s">
        <v>45</v>
      </c>
      <c r="D96" s="10" t="s">
        <v>205</v>
      </c>
      <c r="E96" s="10">
        <v>1</v>
      </c>
      <c r="F96" s="10" t="s">
        <v>206</v>
      </c>
      <c r="G96" s="10">
        <v>-1</v>
      </c>
      <c r="H96" s="10" t="s">
        <v>206</v>
      </c>
      <c r="I96" s="10">
        <v>-1.1</v>
      </c>
      <c r="J96" s="10">
        <v>1.1</v>
      </c>
      <c r="K96" s="10">
        <v>0</v>
      </c>
      <c r="L96" s="10" t="s">
        <v>79</v>
      </c>
      <c r="M96" s="6" t="s">
        <v>208</v>
      </c>
      <c r="N96" s="6" t="s">
        <v>396</v>
      </c>
      <c r="O96" s="10" t="str">
        <f t="shared" si="5"/>
        <v>SVM</v>
      </c>
    </row>
    <row r="97" spans="1:15">
      <c r="A97" s="6" t="s">
        <v>397</v>
      </c>
      <c r="B97" s="6" t="s">
        <v>204</v>
      </c>
      <c r="C97" s="6" t="s">
        <v>45</v>
      </c>
      <c r="D97" s="10" t="s">
        <v>205</v>
      </c>
      <c r="E97" s="10">
        <v>1</v>
      </c>
      <c r="F97" s="10" t="s">
        <v>206</v>
      </c>
      <c r="G97" s="10">
        <v>-1</v>
      </c>
      <c r="H97" s="10" t="s">
        <v>206</v>
      </c>
      <c r="I97" s="10">
        <v>-1.1</v>
      </c>
      <c r="J97" s="10">
        <v>1.1</v>
      </c>
      <c r="K97" s="10">
        <v>0</v>
      </c>
      <c r="L97" s="10" t="s">
        <v>79</v>
      </c>
      <c r="M97" s="6" t="s">
        <v>208</v>
      </c>
      <c r="N97" s="6" t="s">
        <v>398</v>
      </c>
      <c r="O97" s="10" t="str">
        <f t="shared" si="5"/>
        <v>SVM</v>
      </c>
    </row>
    <row r="98" spans="1:15">
      <c r="A98" s="6" t="s">
        <v>399</v>
      </c>
      <c r="B98" s="6" t="s">
        <v>204</v>
      </c>
      <c r="C98" s="6" t="s">
        <v>41</v>
      </c>
      <c r="D98" s="10" t="s">
        <v>205</v>
      </c>
      <c r="E98" s="10">
        <v>12</v>
      </c>
      <c r="F98" s="10" t="s">
        <v>386</v>
      </c>
      <c r="G98" s="10">
        <v>-1</v>
      </c>
      <c r="H98" s="10" t="s">
        <v>206</v>
      </c>
      <c r="I98" s="10">
        <v>0</v>
      </c>
      <c r="J98" s="10">
        <v>65535</v>
      </c>
      <c r="K98" s="10">
        <v>0</v>
      </c>
      <c r="L98" s="10" t="s">
        <v>79</v>
      </c>
      <c r="M98" s="6" t="s">
        <v>208</v>
      </c>
      <c r="N98" s="6" t="s">
        <v>400</v>
      </c>
      <c r="O98" s="10" t="str">
        <f t="shared" si="5"/>
        <v>SVM</v>
      </c>
    </row>
    <row r="99" spans="1:15">
      <c r="A99" s="6" t="s">
        <v>401</v>
      </c>
      <c r="B99" s="6" t="s">
        <v>204</v>
      </c>
      <c r="C99" s="6" t="s">
        <v>41</v>
      </c>
      <c r="D99" s="10" t="s">
        <v>205</v>
      </c>
      <c r="E99" s="10">
        <v>1</v>
      </c>
      <c r="F99" s="10" t="s">
        <v>386</v>
      </c>
      <c r="G99" s="10">
        <v>-1</v>
      </c>
      <c r="H99" s="10" t="s">
        <v>206</v>
      </c>
      <c r="I99" s="10">
        <v>0</v>
      </c>
      <c r="J99" s="10">
        <v>65535</v>
      </c>
      <c r="K99" s="10">
        <v>0</v>
      </c>
      <c r="L99" s="10" t="s">
        <v>389</v>
      </c>
      <c r="M99" s="6" t="s">
        <v>208</v>
      </c>
      <c r="N99" s="6" t="s">
        <v>402</v>
      </c>
      <c r="O99" s="10" t="str">
        <f t="shared" si="5"/>
        <v>SVM</v>
      </c>
    </row>
    <row r="100" spans="1:15">
      <c r="A100" s="6" t="s">
        <v>403</v>
      </c>
      <c r="B100" s="6" t="s">
        <v>204</v>
      </c>
      <c r="C100" s="6" t="s">
        <v>42</v>
      </c>
      <c r="D100" s="10" t="s">
        <v>205</v>
      </c>
      <c r="E100" s="10">
        <v>1</v>
      </c>
      <c r="F100" s="10" t="s">
        <v>206</v>
      </c>
      <c r="G100" s="10">
        <v>-1</v>
      </c>
      <c r="H100" s="10" t="s">
        <v>206</v>
      </c>
      <c r="I100" s="10">
        <v>-32768</v>
      </c>
      <c r="J100" s="10">
        <v>32767</v>
      </c>
      <c r="K100" s="10">
        <v>0</v>
      </c>
      <c r="L100" s="10" t="s">
        <v>79</v>
      </c>
      <c r="M100" s="6" t="s">
        <v>208</v>
      </c>
      <c r="N100" s="6" t="s">
        <v>404</v>
      </c>
      <c r="O100" s="10" t="str">
        <f t="shared" si="5"/>
        <v>SVM</v>
      </c>
    </row>
    <row r="101" spans="1:15">
      <c r="A101" s="6" t="s">
        <v>405</v>
      </c>
      <c r="B101" s="6" t="s">
        <v>204</v>
      </c>
      <c r="C101" s="6" t="s">
        <v>45</v>
      </c>
      <c r="D101" s="10" t="s">
        <v>205</v>
      </c>
      <c r="E101" s="10">
        <v>1</v>
      </c>
      <c r="F101" s="10" t="s">
        <v>206</v>
      </c>
      <c r="G101" s="10">
        <v>-1</v>
      </c>
      <c r="H101" s="10" t="s">
        <v>206</v>
      </c>
      <c r="I101" s="10">
        <v>-512</v>
      </c>
      <c r="J101" s="10">
        <v>512</v>
      </c>
      <c r="K101" s="10">
        <v>0</v>
      </c>
      <c r="L101" s="10" t="s">
        <v>92</v>
      </c>
      <c r="M101" s="6" t="s">
        <v>208</v>
      </c>
      <c r="N101" s="6" t="s">
        <v>406</v>
      </c>
      <c r="O101" s="10" t="str">
        <f t="shared" si="5"/>
        <v>TLC</v>
      </c>
    </row>
    <row r="102" spans="1:15">
      <c r="A102" s="6" t="s">
        <v>407</v>
      </c>
      <c r="B102" s="6" t="s">
        <v>204</v>
      </c>
      <c r="C102" s="6" t="s">
        <v>45</v>
      </c>
      <c r="D102" s="10" t="s">
        <v>205</v>
      </c>
      <c r="E102" s="10">
        <v>1</v>
      </c>
      <c r="F102" s="10" t="s">
        <v>206</v>
      </c>
      <c r="G102" s="10">
        <v>-1</v>
      </c>
      <c r="H102" s="10" t="s">
        <v>206</v>
      </c>
      <c r="I102" s="10">
        <v>-512</v>
      </c>
      <c r="J102" s="10">
        <v>512</v>
      </c>
      <c r="K102" s="10">
        <v>0</v>
      </c>
      <c r="L102" s="10" t="s">
        <v>92</v>
      </c>
      <c r="M102" s="6" t="s">
        <v>208</v>
      </c>
      <c r="N102" s="6" t="s">
        <v>408</v>
      </c>
      <c r="O102" s="10" t="str">
        <f t="shared" si="5"/>
        <v>TLC</v>
      </c>
    </row>
    <row r="103" spans="1:15">
      <c r="A103" s="6" t="s">
        <v>409</v>
      </c>
      <c r="B103" s="6" t="s">
        <v>204</v>
      </c>
      <c r="C103" s="6" t="s">
        <v>45</v>
      </c>
      <c r="D103" s="10" t="s">
        <v>205</v>
      </c>
      <c r="E103" s="10">
        <v>1</v>
      </c>
      <c r="F103" s="10" t="s">
        <v>206</v>
      </c>
      <c r="G103" s="10">
        <v>-1</v>
      </c>
      <c r="H103" s="10" t="s">
        <v>206</v>
      </c>
      <c r="I103" s="10">
        <v>-512</v>
      </c>
      <c r="J103" s="10">
        <v>512</v>
      </c>
      <c r="K103" s="10">
        <v>0</v>
      </c>
      <c r="L103" s="10" t="s">
        <v>92</v>
      </c>
      <c r="M103" s="6" t="s">
        <v>208</v>
      </c>
      <c r="N103" s="6" t="s">
        <v>410</v>
      </c>
      <c r="O103" s="10" t="str">
        <f t="shared" si="5"/>
        <v>TLC</v>
      </c>
    </row>
    <row r="104" spans="1:15">
      <c r="A104" s="6" t="s">
        <v>411</v>
      </c>
      <c r="B104" s="6" t="s">
        <v>204</v>
      </c>
      <c r="C104" s="6" t="s">
        <v>45</v>
      </c>
      <c r="D104" s="10" t="s">
        <v>205</v>
      </c>
      <c r="E104" s="10">
        <v>1</v>
      </c>
      <c r="F104" s="10" t="s">
        <v>206</v>
      </c>
      <c r="G104" s="10">
        <v>-1</v>
      </c>
      <c r="H104" s="10" t="s">
        <v>206</v>
      </c>
      <c r="I104" s="10">
        <v>-512</v>
      </c>
      <c r="J104" s="10">
        <v>512</v>
      </c>
      <c r="K104" s="10">
        <v>0</v>
      </c>
      <c r="L104" s="10" t="s">
        <v>92</v>
      </c>
      <c r="M104" s="6" t="s">
        <v>208</v>
      </c>
      <c r="N104" s="6" t="s">
        <v>412</v>
      </c>
      <c r="O104" s="10" t="str">
        <f t="shared" si="5"/>
        <v>TLC</v>
      </c>
    </row>
    <row r="105" spans="1:15">
      <c r="A105" s="6" t="s">
        <v>413</v>
      </c>
      <c r="B105" s="6" t="s">
        <v>204</v>
      </c>
      <c r="C105" s="6" t="s">
        <v>45</v>
      </c>
      <c r="D105" s="10" t="s">
        <v>205</v>
      </c>
      <c r="E105" s="10">
        <v>1</v>
      </c>
      <c r="F105" s="10" t="s">
        <v>206</v>
      </c>
      <c r="G105" s="10">
        <v>-1</v>
      </c>
      <c r="H105" s="10" t="s">
        <v>206</v>
      </c>
      <c r="I105" s="10">
        <v>-512</v>
      </c>
      <c r="J105" s="10">
        <v>512</v>
      </c>
      <c r="K105" s="10">
        <v>0</v>
      </c>
      <c r="L105" s="10" t="s">
        <v>92</v>
      </c>
      <c r="M105" s="6" t="s">
        <v>208</v>
      </c>
      <c r="N105" s="6" t="s">
        <v>414</v>
      </c>
      <c r="O105" s="10" t="str">
        <f t="shared" si="5"/>
        <v>ISP</v>
      </c>
    </row>
    <row r="106" spans="1:15">
      <c r="A106" s="6" t="s">
        <v>415</v>
      </c>
      <c r="B106" s="6" t="s">
        <v>204</v>
      </c>
      <c r="C106" s="6" t="s">
        <v>45</v>
      </c>
      <c r="D106" s="10" t="s">
        <v>205</v>
      </c>
      <c r="E106" s="10">
        <v>1</v>
      </c>
      <c r="F106" s="10" t="s">
        <v>206</v>
      </c>
      <c r="G106" s="10">
        <v>-1</v>
      </c>
      <c r="H106" s="10" t="s">
        <v>206</v>
      </c>
      <c r="I106" s="10">
        <v>-512</v>
      </c>
      <c r="J106" s="10">
        <v>512</v>
      </c>
      <c r="K106" s="10">
        <v>0</v>
      </c>
      <c r="L106" s="10" t="s">
        <v>92</v>
      </c>
      <c r="M106" s="6" t="s">
        <v>208</v>
      </c>
      <c r="N106" s="6" t="s">
        <v>416</v>
      </c>
      <c r="O106" s="10" t="str">
        <f t="shared" ref="O106:O119" si="8">MID(A106,1,3)</f>
        <v>ISP</v>
      </c>
    </row>
    <row r="107" spans="1:15">
      <c r="A107" s="6" t="s">
        <v>417</v>
      </c>
      <c r="B107" s="6" t="s">
        <v>204</v>
      </c>
      <c r="C107" s="6" t="s">
        <v>45</v>
      </c>
      <c r="D107" s="10" t="s">
        <v>205</v>
      </c>
      <c r="E107" s="10">
        <v>1</v>
      </c>
      <c r="F107" s="10" t="s">
        <v>206</v>
      </c>
      <c r="G107" s="10">
        <v>-1</v>
      </c>
      <c r="H107" s="10" t="s">
        <v>206</v>
      </c>
      <c r="I107" s="10">
        <v>-20000</v>
      </c>
      <c r="J107" s="10">
        <v>20000</v>
      </c>
      <c r="K107" s="10">
        <v>0</v>
      </c>
      <c r="L107" s="10" t="s">
        <v>215</v>
      </c>
      <c r="M107" s="6" t="s">
        <v>208</v>
      </c>
      <c r="N107" s="6" t="s">
        <v>418</v>
      </c>
      <c r="O107" s="10" t="str">
        <f t="shared" si="8"/>
        <v>ISP</v>
      </c>
    </row>
    <row r="108" spans="1:15">
      <c r="A108" s="6" t="s">
        <v>419</v>
      </c>
      <c r="B108" s="6" t="s">
        <v>204</v>
      </c>
      <c r="C108" s="6" t="s">
        <v>45</v>
      </c>
      <c r="D108" s="10" t="s">
        <v>205</v>
      </c>
      <c r="E108" s="10">
        <v>1</v>
      </c>
      <c r="F108" s="10" t="s">
        <v>206</v>
      </c>
      <c r="G108" s="10">
        <v>-1</v>
      </c>
      <c r="H108" s="10" t="s">
        <v>206</v>
      </c>
      <c r="I108" s="10">
        <v>0</v>
      </c>
      <c r="J108" s="10">
        <v>500</v>
      </c>
      <c r="K108" s="10">
        <v>0</v>
      </c>
      <c r="L108" s="10" t="s">
        <v>298</v>
      </c>
      <c r="M108" s="6" t="s">
        <v>208</v>
      </c>
      <c r="N108" s="6" t="s">
        <v>420</v>
      </c>
      <c r="O108" s="10" t="str">
        <f t="shared" si="8"/>
        <v>ISP</v>
      </c>
    </row>
    <row r="109" spans="1:15">
      <c r="A109" s="6" t="s">
        <v>421</v>
      </c>
      <c r="B109" s="6" t="s">
        <v>204</v>
      </c>
      <c r="C109" s="6" t="s">
        <v>45</v>
      </c>
      <c r="D109" s="10" t="s">
        <v>205</v>
      </c>
      <c r="E109" s="10">
        <v>1</v>
      </c>
      <c r="F109" s="10" t="s">
        <v>206</v>
      </c>
      <c r="G109" s="10">
        <v>-1</v>
      </c>
      <c r="H109" s="10" t="s">
        <v>206</v>
      </c>
      <c r="I109" s="10">
        <v>0</v>
      </c>
      <c r="J109" s="10">
        <v>1800</v>
      </c>
      <c r="K109" s="10">
        <v>0</v>
      </c>
      <c r="L109" s="10" t="s">
        <v>305</v>
      </c>
      <c r="M109" s="6" t="s">
        <v>208</v>
      </c>
      <c r="N109" s="6" t="s">
        <v>422</v>
      </c>
      <c r="O109" s="10" t="str">
        <f t="shared" si="8"/>
        <v>ISP</v>
      </c>
    </row>
    <row r="110" spans="1:15">
      <c r="A110" s="6" t="s">
        <v>423</v>
      </c>
      <c r="B110" s="6" t="s">
        <v>204</v>
      </c>
      <c r="C110" s="6" t="s">
        <v>45</v>
      </c>
      <c r="D110" s="10" t="s">
        <v>205</v>
      </c>
      <c r="E110" s="10">
        <v>1</v>
      </c>
      <c r="F110" s="10" t="s">
        <v>206</v>
      </c>
      <c r="G110" s="10">
        <v>-1</v>
      </c>
      <c r="H110" s="10" t="s">
        <v>206</v>
      </c>
      <c r="I110" s="10">
        <v>-1000</v>
      </c>
      <c r="J110" s="10">
        <v>1000</v>
      </c>
      <c r="K110" s="10">
        <v>0</v>
      </c>
      <c r="L110" s="10" t="s">
        <v>99</v>
      </c>
      <c r="M110" s="6" t="s">
        <v>208</v>
      </c>
      <c r="N110" s="6" t="s">
        <v>424</v>
      </c>
      <c r="O110" s="10" t="str">
        <f t="shared" si="8"/>
        <v>ISP</v>
      </c>
    </row>
    <row r="111" spans="1:15">
      <c r="A111" s="6" t="s">
        <v>425</v>
      </c>
      <c r="B111" s="6" t="s">
        <v>204</v>
      </c>
      <c r="C111" s="6" t="s">
        <v>45</v>
      </c>
      <c r="D111" s="10" t="s">
        <v>205</v>
      </c>
      <c r="E111" s="10">
        <v>1</v>
      </c>
      <c r="F111" s="10" t="s">
        <v>206</v>
      </c>
      <c r="G111" s="10">
        <v>-1</v>
      </c>
      <c r="H111" s="10" t="s">
        <v>206</v>
      </c>
      <c r="I111" s="10">
        <v>-1000</v>
      </c>
      <c r="J111" s="10">
        <v>1000</v>
      </c>
      <c r="K111" s="10">
        <v>0</v>
      </c>
      <c r="L111" s="10" t="s">
        <v>79</v>
      </c>
      <c r="M111" s="6" t="s">
        <v>208</v>
      </c>
      <c r="N111" s="6" t="s">
        <v>426</v>
      </c>
      <c r="O111" s="10" t="str">
        <f t="shared" si="8"/>
        <v>ISP</v>
      </c>
    </row>
    <row r="112" spans="1:15">
      <c r="A112" s="6" t="s">
        <v>427</v>
      </c>
      <c r="B112" s="6" t="s">
        <v>204</v>
      </c>
      <c r="C112" s="6" t="s">
        <v>45</v>
      </c>
      <c r="D112" s="10" t="s">
        <v>205</v>
      </c>
      <c r="E112" s="10">
        <v>1</v>
      </c>
      <c r="F112" s="10" t="s">
        <v>206</v>
      </c>
      <c r="G112" s="10">
        <v>-1</v>
      </c>
      <c r="H112" s="10" t="s">
        <v>206</v>
      </c>
      <c r="I112" s="10">
        <v>-1000</v>
      </c>
      <c r="J112" s="10">
        <v>1000</v>
      </c>
      <c r="K112" s="10">
        <v>0</v>
      </c>
      <c r="L112" s="10" t="s">
        <v>92</v>
      </c>
      <c r="M112" s="6" t="s">
        <v>208</v>
      </c>
      <c r="N112" s="6" t="s">
        <v>428</v>
      </c>
      <c r="O112" s="10" t="str">
        <f t="shared" si="8"/>
        <v>TCC</v>
      </c>
    </row>
    <row r="113" spans="1:15">
      <c r="A113" s="6" t="s">
        <v>429</v>
      </c>
      <c r="B113" s="6" t="s">
        <v>204</v>
      </c>
      <c r="C113" s="6" t="s">
        <v>45</v>
      </c>
      <c r="D113" s="10" t="s">
        <v>205</v>
      </c>
      <c r="E113" s="10">
        <v>1</v>
      </c>
      <c r="F113" s="10" t="s">
        <v>206</v>
      </c>
      <c r="G113" s="10">
        <v>-1</v>
      </c>
      <c r="H113" s="10" t="s">
        <v>206</v>
      </c>
      <c r="I113" s="10">
        <v>-1000</v>
      </c>
      <c r="J113" s="10">
        <v>1000</v>
      </c>
      <c r="K113" s="10">
        <v>0</v>
      </c>
      <c r="L113" s="10" t="s">
        <v>92</v>
      </c>
      <c r="M113" s="6" t="s">
        <v>208</v>
      </c>
      <c r="N113" s="6" t="s">
        <v>430</v>
      </c>
      <c r="O113" s="10" t="str">
        <f t="shared" si="8"/>
        <v>TCC</v>
      </c>
    </row>
    <row r="114" spans="1:15">
      <c r="A114" s="6" t="s">
        <v>431</v>
      </c>
      <c r="B114" s="6" t="s">
        <v>204</v>
      </c>
      <c r="C114" s="6" t="s">
        <v>45</v>
      </c>
      <c r="D114" s="10" t="s">
        <v>205</v>
      </c>
      <c r="E114" s="10">
        <v>1</v>
      </c>
      <c r="F114" s="10" t="s">
        <v>206</v>
      </c>
      <c r="G114" s="10">
        <v>-1</v>
      </c>
      <c r="H114" s="10" t="s">
        <v>206</v>
      </c>
      <c r="I114" s="10">
        <v>-1000</v>
      </c>
      <c r="J114" s="10">
        <v>1000</v>
      </c>
      <c r="K114" s="10">
        <v>0</v>
      </c>
      <c r="L114" s="10" t="s">
        <v>92</v>
      </c>
      <c r="M114" s="6" t="s">
        <v>208</v>
      </c>
      <c r="N114" s="6" t="s">
        <v>432</v>
      </c>
      <c r="O114" s="10" t="str">
        <f t="shared" ref="O114:O116" si="9">MID(A114,1,3)</f>
        <v>TCC</v>
      </c>
    </row>
    <row r="115" spans="1:15">
      <c r="A115" s="6" t="s">
        <v>433</v>
      </c>
      <c r="B115" s="6" t="s">
        <v>204</v>
      </c>
      <c r="C115" s="6" t="s">
        <v>46</v>
      </c>
      <c r="D115" s="10" t="s">
        <v>205</v>
      </c>
      <c r="E115" s="10">
        <v>1</v>
      </c>
      <c r="F115" s="10" t="s">
        <v>206</v>
      </c>
      <c r="G115" s="10">
        <v>-1</v>
      </c>
      <c r="H115" s="10" t="s">
        <v>206</v>
      </c>
      <c r="I115" s="10">
        <v>0</v>
      </c>
      <c r="J115" s="10">
        <v>1</v>
      </c>
      <c r="K115" s="10">
        <v>0</v>
      </c>
      <c r="L115" s="10" t="s">
        <v>79</v>
      </c>
      <c r="M115" s="6" t="s">
        <v>208</v>
      </c>
      <c r="N115" s="6" t="s">
        <v>434</v>
      </c>
      <c r="O115" s="10" t="str">
        <f t="shared" si="9"/>
        <v>TCC</v>
      </c>
    </row>
    <row r="116" spans="1:15">
      <c r="A116" s="6" t="s">
        <v>435</v>
      </c>
      <c r="B116" s="6" t="s">
        <v>204</v>
      </c>
      <c r="C116" s="6" t="s">
        <v>38</v>
      </c>
      <c r="D116" s="10" t="s">
        <v>205</v>
      </c>
      <c r="E116" s="10">
        <v>1</v>
      </c>
      <c r="F116" s="10" t="s">
        <v>206</v>
      </c>
      <c r="G116" s="10">
        <v>-1</v>
      </c>
      <c r="H116" s="10" t="s">
        <v>206</v>
      </c>
      <c r="I116" s="10">
        <v>0</v>
      </c>
      <c r="J116" s="10">
        <v>10</v>
      </c>
      <c r="K116" s="10">
        <v>0</v>
      </c>
      <c r="L116" s="10" t="s">
        <v>79</v>
      </c>
      <c r="M116" s="6" t="s">
        <v>208</v>
      </c>
      <c r="N116" s="6" t="s">
        <v>436</v>
      </c>
      <c r="O116" s="10" t="str">
        <f t="shared" si="9"/>
        <v>TCC</v>
      </c>
    </row>
    <row r="117" spans="1:15">
      <c r="A117" s="6" t="s">
        <v>437</v>
      </c>
      <c r="B117" s="6" t="s">
        <v>204</v>
      </c>
      <c r="C117" s="6" t="s">
        <v>46</v>
      </c>
      <c r="D117" s="10" t="s">
        <v>205</v>
      </c>
      <c r="E117" s="10">
        <v>1</v>
      </c>
      <c r="F117" s="10" t="s">
        <v>206</v>
      </c>
      <c r="G117" s="10">
        <v>-1</v>
      </c>
      <c r="H117" s="10" t="s">
        <v>206</v>
      </c>
      <c r="I117" s="10">
        <v>0</v>
      </c>
      <c r="J117" s="10">
        <v>1</v>
      </c>
      <c r="K117" s="10">
        <v>0</v>
      </c>
      <c r="L117" s="10" t="s">
        <v>79</v>
      </c>
      <c r="M117" s="6" t="s">
        <v>208</v>
      </c>
      <c r="N117" s="6" t="s">
        <v>438</v>
      </c>
      <c r="O117" s="10" t="str">
        <f t="shared" si="8"/>
        <v>ISP</v>
      </c>
    </row>
    <row r="118" spans="1:15">
      <c r="A118" s="6" t="s">
        <v>439</v>
      </c>
      <c r="B118" s="6" t="s">
        <v>204</v>
      </c>
      <c r="C118" s="6" t="s">
        <v>46</v>
      </c>
      <c r="D118" s="10" t="s">
        <v>205</v>
      </c>
      <c r="E118" s="10">
        <v>1</v>
      </c>
      <c r="F118" s="10" t="s">
        <v>206</v>
      </c>
      <c r="G118" s="10">
        <v>-1</v>
      </c>
      <c r="H118" s="10" t="s">
        <v>206</v>
      </c>
      <c r="I118" s="10">
        <v>0</v>
      </c>
      <c r="J118" s="10">
        <v>1</v>
      </c>
      <c r="K118" s="10">
        <v>0</v>
      </c>
      <c r="L118" s="10" t="s">
        <v>79</v>
      </c>
      <c r="M118" s="6" t="s">
        <v>208</v>
      </c>
      <c r="N118" s="6" t="s">
        <v>440</v>
      </c>
      <c r="O118" s="10" t="str">
        <f t="shared" si="8"/>
        <v>ISP</v>
      </c>
    </row>
    <row r="119" spans="1:15">
      <c r="A119" s="6" t="s">
        <v>441</v>
      </c>
      <c r="B119" s="6" t="s">
        <v>204</v>
      </c>
      <c r="C119" s="6" t="s">
        <v>46</v>
      </c>
      <c r="D119" s="10" t="s">
        <v>205</v>
      </c>
      <c r="E119" s="10">
        <v>1</v>
      </c>
      <c r="F119" s="10" t="s">
        <v>206</v>
      </c>
      <c r="G119" s="10">
        <v>-1</v>
      </c>
      <c r="H119" s="10" t="s">
        <v>206</v>
      </c>
      <c r="I119" s="10">
        <v>0</v>
      </c>
      <c r="J119" s="10">
        <v>1</v>
      </c>
      <c r="K119" s="10">
        <v>0</v>
      </c>
      <c r="L119" s="10" t="s">
        <v>79</v>
      </c>
      <c r="M119" s="6" t="s">
        <v>208</v>
      </c>
      <c r="N119" s="6" t="s">
        <v>442</v>
      </c>
      <c r="O119" s="10" t="str">
        <f t="shared" si="8"/>
        <v>ISP</v>
      </c>
    </row>
    <row r="120" spans="1:15">
      <c r="A120" s="6" t="s">
        <v>443</v>
      </c>
      <c r="B120" s="6" t="s">
        <v>204</v>
      </c>
      <c r="C120" s="6" t="s">
        <v>45</v>
      </c>
      <c r="D120" s="10" t="s">
        <v>205</v>
      </c>
      <c r="E120" s="10">
        <v>1</v>
      </c>
      <c r="F120" s="10" t="s">
        <v>206</v>
      </c>
      <c r="G120" s="10">
        <v>-1</v>
      </c>
      <c r="H120" s="10" t="s">
        <v>206</v>
      </c>
      <c r="I120" s="10">
        <v>-100</v>
      </c>
      <c r="J120" s="10">
        <v>300</v>
      </c>
      <c r="K120" s="10">
        <v>20</v>
      </c>
      <c r="L120" s="10" t="s">
        <v>444</v>
      </c>
      <c r="M120" s="6" t="s">
        <v>208</v>
      </c>
      <c r="N120" s="6" t="s">
        <v>445</v>
      </c>
      <c r="O120" s="10" t="str">
        <f t="shared" ref="O120:O132" si="10">MID(A120,1,3)</f>
        <v>ISP</v>
      </c>
    </row>
    <row r="121" spans="1:15">
      <c r="A121" s="6" t="s">
        <v>446</v>
      </c>
      <c r="B121" s="6" t="s">
        <v>204</v>
      </c>
      <c r="C121" s="6" t="s">
        <v>45</v>
      </c>
      <c r="D121" s="10" t="s">
        <v>205</v>
      </c>
      <c r="E121" s="10">
        <v>1</v>
      </c>
      <c r="F121" s="10" t="s">
        <v>206</v>
      </c>
      <c r="G121" s="10">
        <v>-1</v>
      </c>
      <c r="H121" s="10" t="s">
        <v>206</v>
      </c>
      <c r="I121" s="10">
        <v>-100</v>
      </c>
      <c r="J121" s="10">
        <v>300</v>
      </c>
      <c r="K121" s="10">
        <v>20</v>
      </c>
      <c r="L121" s="10" t="s">
        <v>444</v>
      </c>
      <c r="M121" s="6" t="s">
        <v>208</v>
      </c>
      <c r="N121" s="6" t="s">
        <v>447</v>
      </c>
      <c r="O121" s="10" t="str">
        <f t="shared" si="10"/>
        <v>ISP</v>
      </c>
    </row>
    <row r="122" spans="1:15">
      <c r="A122" s="6" t="s">
        <v>448</v>
      </c>
      <c r="B122" s="6" t="s">
        <v>204</v>
      </c>
      <c r="C122" s="6" t="s">
        <v>45</v>
      </c>
      <c r="D122" s="10" t="s">
        <v>205</v>
      </c>
      <c r="E122" s="10">
        <v>1</v>
      </c>
      <c r="F122" s="10" t="s">
        <v>206</v>
      </c>
      <c r="G122" s="10">
        <v>-1</v>
      </c>
      <c r="H122" s="10" t="s">
        <v>206</v>
      </c>
      <c r="I122" s="10">
        <v>-100</v>
      </c>
      <c r="J122" s="10">
        <v>300</v>
      </c>
      <c r="K122" s="10">
        <v>20</v>
      </c>
      <c r="L122" s="10" t="s">
        <v>444</v>
      </c>
      <c r="M122" s="6" t="s">
        <v>208</v>
      </c>
      <c r="N122" s="6" t="s">
        <v>449</v>
      </c>
      <c r="O122" s="10" t="str">
        <f t="shared" si="10"/>
        <v>ISP</v>
      </c>
    </row>
    <row r="123" spans="1:15">
      <c r="A123" s="6" t="s">
        <v>450</v>
      </c>
      <c r="B123" s="6" t="s">
        <v>204</v>
      </c>
      <c r="C123" s="6" t="s">
        <v>45</v>
      </c>
      <c r="D123" s="10" t="s">
        <v>205</v>
      </c>
      <c r="E123" s="10">
        <v>1</v>
      </c>
      <c r="F123" s="10" t="s">
        <v>206</v>
      </c>
      <c r="G123" s="10">
        <v>-1</v>
      </c>
      <c r="H123" s="10" t="s">
        <v>206</v>
      </c>
      <c r="I123" s="10">
        <v>-100</v>
      </c>
      <c r="J123" s="10">
        <v>300</v>
      </c>
      <c r="K123" s="10">
        <v>20</v>
      </c>
      <c r="L123" s="10" t="s">
        <v>444</v>
      </c>
      <c r="M123" s="6" t="s">
        <v>208</v>
      </c>
      <c r="N123" s="6" t="s">
        <v>451</v>
      </c>
      <c r="O123" s="10" t="str">
        <f t="shared" si="10"/>
        <v>ISP</v>
      </c>
    </row>
    <row r="124" spans="1:15">
      <c r="A124" s="6" t="s">
        <v>452</v>
      </c>
      <c r="B124" s="6" t="s">
        <v>204</v>
      </c>
      <c r="C124" s="6" t="s">
        <v>45</v>
      </c>
      <c r="D124" s="10" t="s">
        <v>205</v>
      </c>
      <c r="E124" s="10">
        <v>1</v>
      </c>
      <c r="F124" s="10" t="s">
        <v>206</v>
      </c>
      <c r="G124" s="10">
        <v>-1</v>
      </c>
      <c r="H124" s="10" t="s">
        <v>206</v>
      </c>
      <c r="I124" s="10">
        <v>-100</v>
      </c>
      <c r="J124" s="10">
        <v>300</v>
      </c>
      <c r="K124" s="10">
        <v>20</v>
      </c>
      <c r="L124" s="10" t="s">
        <v>444</v>
      </c>
      <c r="M124" s="6" t="s">
        <v>208</v>
      </c>
      <c r="N124" s="6" t="s">
        <v>453</v>
      </c>
      <c r="O124" s="10" t="str">
        <f t="shared" si="10"/>
        <v>ISP</v>
      </c>
    </row>
    <row r="125" spans="1:15">
      <c r="A125" s="6" t="s">
        <v>454</v>
      </c>
      <c r="B125" s="6" t="s">
        <v>204</v>
      </c>
      <c r="C125" s="6" t="s">
        <v>46</v>
      </c>
      <c r="D125" s="10" t="s">
        <v>205</v>
      </c>
      <c r="E125" s="10">
        <v>1</v>
      </c>
      <c r="F125" s="10" t="s">
        <v>206</v>
      </c>
      <c r="G125" s="10">
        <v>-1</v>
      </c>
      <c r="H125" s="10" t="s">
        <v>206</v>
      </c>
      <c r="I125" s="10">
        <v>0</v>
      </c>
      <c r="J125" s="10">
        <v>1</v>
      </c>
      <c r="K125" s="10">
        <v>0</v>
      </c>
      <c r="L125" s="10" t="s">
        <v>455</v>
      </c>
      <c r="M125" s="6" t="s">
        <v>208</v>
      </c>
      <c r="N125" s="6" t="s">
        <v>456</v>
      </c>
      <c r="O125" s="10" t="str">
        <f t="shared" si="10"/>
        <v>ISP</v>
      </c>
    </row>
    <row r="126" spans="1:15">
      <c r="A126" s="6" t="s">
        <v>457</v>
      </c>
      <c r="B126" s="6" t="s">
        <v>204</v>
      </c>
      <c r="C126" s="6" t="s">
        <v>45</v>
      </c>
      <c r="D126" s="10" t="s">
        <v>205</v>
      </c>
      <c r="E126" s="10">
        <v>1</v>
      </c>
      <c r="F126" s="10" t="s">
        <v>206</v>
      </c>
      <c r="G126" s="10">
        <v>-1</v>
      </c>
      <c r="H126" s="10" t="s">
        <v>206</v>
      </c>
      <c r="I126" s="10">
        <v>-1000</v>
      </c>
      <c r="J126" s="10">
        <v>1000</v>
      </c>
      <c r="K126" s="10">
        <v>0</v>
      </c>
      <c r="L126" s="10" t="s">
        <v>92</v>
      </c>
      <c r="M126" s="6" t="s">
        <v>208</v>
      </c>
      <c r="N126" s="6" t="s">
        <v>458</v>
      </c>
      <c r="O126" s="10" t="str">
        <f t="shared" si="10"/>
        <v>ISP</v>
      </c>
    </row>
    <row r="127" spans="1:15">
      <c r="A127" s="6" t="s">
        <v>459</v>
      </c>
      <c r="B127" s="6" t="s">
        <v>204</v>
      </c>
      <c r="C127" s="6" t="s">
        <v>45</v>
      </c>
      <c r="D127" s="10" t="s">
        <v>205</v>
      </c>
      <c r="E127" s="10">
        <v>1</v>
      </c>
      <c r="F127" s="10" t="s">
        <v>206</v>
      </c>
      <c r="G127" s="10">
        <v>-1</v>
      </c>
      <c r="H127" s="10" t="s">
        <v>206</v>
      </c>
      <c r="I127" s="10">
        <v>-1000</v>
      </c>
      <c r="J127" s="10">
        <v>1000</v>
      </c>
      <c r="K127" s="10">
        <v>0</v>
      </c>
      <c r="L127" s="10" t="s">
        <v>92</v>
      </c>
      <c r="M127" s="6" t="s">
        <v>208</v>
      </c>
      <c r="N127" s="6" t="s">
        <v>460</v>
      </c>
      <c r="O127" s="10" t="str">
        <f t="shared" si="10"/>
        <v>ISP</v>
      </c>
    </row>
    <row r="128" spans="1:14">
      <c r="A128" s="6" t="s">
        <v>461</v>
      </c>
      <c r="B128" s="6" t="s">
        <v>204</v>
      </c>
      <c r="C128" s="6" t="s">
        <v>54</v>
      </c>
      <c r="D128" s="10" t="s">
        <v>205</v>
      </c>
      <c r="E128" s="10">
        <v>1</v>
      </c>
      <c r="F128" s="10" t="s">
        <v>206</v>
      </c>
      <c r="G128" s="10">
        <v>-1</v>
      </c>
      <c r="H128" s="10" t="s">
        <v>206</v>
      </c>
      <c r="I128" s="27" t="s">
        <v>462</v>
      </c>
      <c r="J128" s="27" t="s">
        <v>462</v>
      </c>
      <c r="K128" s="27" t="s">
        <v>462</v>
      </c>
      <c r="M128" s="6" t="s">
        <v>463</v>
      </c>
      <c r="N128" s="6" t="s">
        <v>464</v>
      </c>
    </row>
    <row r="129" spans="1:14">
      <c r="A129" s="6" t="s">
        <v>465</v>
      </c>
      <c r="B129" s="6" t="s">
        <v>204</v>
      </c>
      <c r="C129" s="6" t="s">
        <v>55</v>
      </c>
      <c r="D129" s="10" t="s">
        <v>205</v>
      </c>
      <c r="E129" s="10">
        <v>1</v>
      </c>
      <c r="F129" s="10" t="s">
        <v>206</v>
      </c>
      <c r="G129" s="10">
        <v>-1</v>
      </c>
      <c r="H129" s="10" t="s">
        <v>206</v>
      </c>
      <c r="I129" s="27" t="s">
        <v>462</v>
      </c>
      <c r="J129" s="27" t="s">
        <v>462</v>
      </c>
      <c r="K129" s="27" t="s">
        <v>462</v>
      </c>
      <c r="M129" s="6" t="s">
        <v>466</v>
      </c>
      <c r="N129" s="6" t="s">
        <v>464</v>
      </c>
    </row>
    <row r="130" spans="1:14">
      <c r="A130" s="6" t="s">
        <v>467</v>
      </c>
      <c r="B130" s="6" t="s">
        <v>204</v>
      </c>
      <c r="C130" s="6" t="s">
        <v>56</v>
      </c>
      <c r="D130" s="10" t="s">
        <v>205</v>
      </c>
      <c r="E130" s="10">
        <v>1</v>
      </c>
      <c r="F130" s="10" t="s">
        <v>206</v>
      </c>
      <c r="G130" s="10">
        <v>-1</v>
      </c>
      <c r="H130" s="10" t="s">
        <v>206</v>
      </c>
      <c r="I130" s="27" t="s">
        <v>462</v>
      </c>
      <c r="J130" s="27" t="s">
        <v>462</v>
      </c>
      <c r="K130" s="27" t="s">
        <v>462</v>
      </c>
      <c r="M130" s="6" t="s">
        <v>463</v>
      </c>
      <c r="N130" s="6" t="s">
        <v>468</v>
      </c>
    </row>
    <row r="131" spans="1:14">
      <c r="A131" s="6" t="s">
        <v>469</v>
      </c>
      <c r="B131" s="6" t="s">
        <v>204</v>
      </c>
      <c r="C131" s="6" t="s">
        <v>62</v>
      </c>
      <c r="D131" s="10" t="s">
        <v>205</v>
      </c>
      <c r="E131" s="10">
        <v>1</v>
      </c>
      <c r="F131" s="10" t="s">
        <v>206</v>
      </c>
      <c r="G131" s="10">
        <v>-1</v>
      </c>
      <c r="H131" s="10" t="s">
        <v>206</v>
      </c>
      <c r="I131" s="27" t="s">
        <v>462</v>
      </c>
      <c r="J131" s="27" t="s">
        <v>462</v>
      </c>
      <c r="K131" s="27" t="s">
        <v>462</v>
      </c>
      <c r="M131" s="6" t="s">
        <v>466</v>
      </c>
      <c r="N131" s="6" t="s">
        <v>468</v>
      </c>
    </row>
    <row r="132" spans="1:14">
      <c r="A132" s="6" t="s">
        <v>470</v>
      </c>
      <c r="B132" s="6" t="s">
        <v>204</v>
      </c>
      <c r="C132" s="6" t="s">
        <v>58</v>
      </c>
      <c r="D132" s="10" t="s">
        <v>205</v>
      </c>
      <c r="E132" s="10">
        <v>1</v>
      </c>
      <c r="F132" s="10" t="s">
        <v>206</v>
      </c>
      <c r="G132" s="10">
        <v>-1</v>
      </c>
      <c r="H132" s="10" t="s">
        <v>206</v>
      </c>
      <c r="I132" s="27" t="s">
        <v>462</v>
      </c>
      <c r="J132" s="27" t="s">
        <v>462</v>
      </c>
      <c r="K132" s="27" t="s">
        <v>462</v>
      </c>
      <c r="M132" s="6" t="s">
        <v>466</v>
      </c>
      <c r="N132" s="6" t="s">
        <v>471</v>
      </c>
    </row>
    <row r="133" spans="1:14">
      <c r="A133" s="6" t="s">
        <v>472</v>
      </c>
      <c r="B133" s="6" t="s">
        <v>204</v>
      </c>
      <c r="C133" s="6" t="s">
        <v>57</v>
      </c>
      <c r="D133" s="10" t="s">
        <v>205</v>
      </c>
      <c r="E133" s="10">
        <v>1</v>
      </c>
      <c r="F133" s="10" t="s">
        <v>206</v>
      </c>
      <c r="G133" s="10">
        <v>-1</v>
      </c>
      <c r="H133" s="10" t="s">
        <v>206</v>
      </c>
      <c r="I133" s="27" t="s">
        <v>462</v>
      </c>
      <c r="J133" s="27" t="s">
        <v>462</v>
      </c>
      <c r="K133" s="27" t="s">
        <v>462</v>
      </c>
      <c r="M133" s="6" t="s">
        <v>466</v>
      </c>
      <c r="N133" s="6" t="s">
        <v>473</v>
      </c>
    </row>
    <row r="134" spans="1:14">
      <c r="A134" s="6" t="s">
        <v>474</v>
      </c>
      <c r="B134" s="6" t="s">
        <v>204</v>
      </c>
      <c r="C134" s="6" t="s">
        <v>57</v>
      </c>
      <c r="D134" s="10" t="s">
        <v>205</v>
      </c>
      <c r="E134" s="10">
        <v>1</v>
      </c>
      <c r="F134" s="10" t="s">
        <v>206</v>
      </c>
      <c r="G134" s="10">
        <v>-1</v>
      </c>
      <c r="H134" s="10" t="s">
        <v>206</v>
      </c>
      <c r="I134" s="27" t="s">
        <v>462</v>
      </c>
      <c r="J134" s="27" t="s">
        <v>462</v>
      </c>
      <c r="K134" s="27" t="s">
        <v>462</v>
      </c>
      <c r="M134" s="6" t="s">
        <v>463</v>
      </c>
      <c r="N134" s="6" t="s">
        <v>475</v>
      </c>
    </row>
    <row r="135" spans="1:14">
      <c r="A135" s="6" t="s">
        <v>476</v>
      </c>
      <c r="B135" s="6" t="s">
        <v>204</v>
      </c>
      <c r="C135" s="6" t="s">
        <v>63</v>
      </c>
      <c r="D135" s="10" t="s">
        <v>205</v>
      </c>
      <c r="E135" s="10">
        <v>1</v>
      </c>
      <c r="F135" s="10" t="s">
        <v>206</v>
      </c>
      <c r="G135" s="10">
        <v>-1</v>
      </c>
      <c r="H135" s="10" t="s">
        <v>206</v>
      </c>
      <c r="I135" s="27" t="s">
        <v>462</v>
      </c>
      <c r="J135" s="27" t="s">
        <v>462</v>
      </c>
      <c r="K135" s="27" t="s">
        <v>462</v>
      </c>
      <c r="M135" s="6" t="s">
        <v>466</v>
      </c>
      <c r="N135" s="6" t="s">
        <v>477</v>
      </c>
    </row>
    <row r="136" ht="13.5" customHeight="1" spans="1:14">
      <c r="A136" s="6" t="s">
        <v>478</v>
      </c>
      <c r="B136" s="6" t="s">
        <v>204</v>
      </c>
      <c r="C136" s="6" t="s">
        <v>63</v>
      </c>
      <c r="D136" s="10" t="s">
        <v>205</v>
      </c>
      <c r="E136" s="10">
        <v>1</v>
      </c>
      <c r="F136" s="10" t="s">
        <v>206</v>
      </c>
      <c r="G136" s="10">
        <v>-1</v>
      </c>
      <c r="H136" s="10" t="s">
        <v>206</v>
      </c>
      <c r="I136" s="27" t="s">
        <v>462</v>
      </c>
      <c r="J136" s="27" t="s">
        <v>462</v>
      </c>
      <c r="K136" s="27" t="s">
        <v>462</v>
      </c>
      <c r="M136" s="6" t="s">
        <v>466</v>
      </c>
      <c r="N136" s="6" t="s">
        <v>479</v>
      </c>
    </row>
    <row r="137" spans="1:14">
      <c r="A137" s="6" t="s">
        <v>480</v>
      </c>
      <c r="B137" s="6" t="s">
        <v>204</v>
      </c>
      <c r="C137" s="6" t="s">
        <v>64</v>
      </c>
      <c r="D137" s="10" t="s">
        <v>205</v>
      </c>
      <c r="E137" s="10">
        <v>1</v>
      </c>
      <c r="F137" s="10" t="s">
        <v>206</v>
      </c>
      <c r="G137" s="10">
        <v>-1</v>
      </c>
      <c r="H137" s="10" t="s">
        <v>206</v>
      </c>
      <c r="I137" s="27" t="s">
        <v>462</v>
      </c>
      <c r="J137" s="27" t="s">
        <v>462</v>
      </c>
      <c r="K137" s="27" t="s">
        <v>462</v>
      </c>
      <c r="M137" s="6" t="s">
        <v>466</v>
      </c>
      <c r="N137" s="6" t="s">
        <v>481</v>
      </c>
    </row>
    <row r="138" spans="1:14">
      <c r="A138" s="6" t="s">
        <v>482</v>
      </c>
      <c r="B138" s="6" t="s">
        <v>204</v>
      </c>
      <c r="C138" s="6" t="s">
        <v>65</v>
      </c>
      <c r="D138" s="10" t="s">
        <v>205</v>
      </c>
      <c r="E138" s="10">
        <v>1</v>
      </c>
      <c r="F138" s="10" t="s">
        <v>206</v>
      </c>
      <c r="G138" s="10">
        <v>-1</v>
      </c>
      <c r="H138" s="10" t="s">
        <v>206</v>
      </c>
      <c r="I138" s="27" t="s">
        <v>462</v>
      </c>
      <c r="J138" s="27" t="s">
        <v>462</v>
      </c>
      <c r="K138" s="27" t="s">
        <v>462</v>
      </c>
      <c r="M138" s="6" t="s">
        <v>466</v>
      </c>
      <c r="N138" s="6" t="s">
        <v>483</v>
      </c>
    </row>
    <row r="139" spans="1:14">
      <c r="A139" s="6" t="s">
        <v>484</v>
      </c>
      <c r="B139" s="6" t="s">
        <v>204</v>
      </c>
      <c r="C139" s="6" t="s">
        <v>64</v>
      </c>
      <c r="D139" s="10" t="s">
        <v>205</v>
      </c>
      <c r="E139" s="10">
        <v>1</v>
      </c>
      <c r="F139" s="10" t="s">
        <v>206</v>
      </c>
      <c r="G139" s="10">
        <v>-1</v>
      </c>
      <c r="H139" s="10" t="s">
        <v>206</v>
      </c>
      <c r="I139" s="27" t="s">
        <v>462</v>
      </c>
      <c r="J139" s="27" t="s">
        <v>462</v>
      </c>
      <c r="K139" s="27" t="s">
        <v>462</v>
      </c>
      <c r="M139" s="6" t="s">
        <v>466</v>
      </c>
      <c r="N139" s="6" t="s">
        <v>485</v>
      </c>
    </row>
    <row r="140" spans="1:14">
      <c r="A140" s="6" t="s">
        <v>486</v>
      </c>
      <c r="B140" s="6" t="s">
        <v>204</v>
      </c>
      <c r="C140" s="6" t="s">
        <v>65</v>
      </c>
      <c r="D140" s="10" t="s">
        <v>205</v>
      </c>
      <c r="E140" s="10">
        <v>1</v>
      </c>
      <c r="F140" s="10" t="s">
        <v>206</v>
      </c>
      <c r="G140" s="10">
        <v>-1</v>
      </c>
      <c r="H140" s="10" t="s">
        <v>206</v>
      </c>
      <c r="I140" s="27" t="s">
        <v>462</v>
      </c>
      <c r="J140" s="27" t="s">
        <v>462</v>
      </c>
      <c r="K140" s="27" t="s">
        <v>462</v>
      </c>
      <c r="M140" s="6" t="s">
        <v>466</v>
      </c>
      <c r="N140" s="6" t="s">
        <v>487</v>
      </c>
    </row>
    <row r="141" spans="1:14">
      <c r="A141" s="6" t="s">
        <v>488</v>
      </c>
      <c r="B141" s="6" t="s">
        <v>204</v>
      </c>
      <c r="C141" s="6" t="s">
        <v>68</v>
      </c>
      <c r="D141" s="10" t="s">
        <v>205</v>
      </c>
      <c r="E141" s="10">
        <v>1</v>
      </c>
      <c r="F141" s="10" t="s">
        <v>206</v>
      </c>
      <c r="G141" s="10">
        <v>-1</v>
      </c>
      <c r="H141" s="10" t="s">
        <v>206</v>
      </c>
      <c r="I141" s="27" t="s">
        <v>462</v>
      </c>
      <c r="J141" s="27" t="s">
        <v>462</v>
      </c>
      <c r="K141" s="27" t="s">
        <v>462</v>
      </c>
      <c r="M141" s="6" t="s">
        <v>466</v>
      </c>
      <c r="N141" s="6" t="s">
        <v>489</v>
      </c>
    </row>
    <row r="142" spans="1:15">
      <c r="A142" s="6" t="s">
        <v>490</v>
      </c>
      <c r="B142" s="6" t="s">
        <v>204</v>
      </c>
      <c r="C142" s="6" t="s">
        <v>41</v>
      </c>
      <c r="D142" s="10" t="s">
        <v>205</v>
      </c>
      <c r="E142" s="10">
        <v>1</v>
      </c>
      <c r="F142" s="10" t="s">
        <v>206</v>
      </c>
      <c r="G142" s="10">
        <v>-1</v>
      </c>
      <c r="H142" s="10" t="s">
        <v>206</v>
      </c>
      <c r="I142" s="27" t="s">
        <v>462</v>
      </c>
      <c r="J142" s="27" t="s">
        <v>462</v>
      </c>
      <c r="K142" s="10">
        <v>0</v>
      </c>
      <c r="L142" s="10" t="s">
        <v>79</v>
      </c>
      <c r="M142" s="6" t="s">
        <v>466</v>
      </c>
      <c r="N142" s="6" t="s">
        <v>491</v>
      </c>
      <c r="O142" s="10" t="s">
        <v>492</v>
      </c>
    </row>
    <row r="143" spans="1:15">
      <c r="A143" s="6" t="s">
        <v>493</v>
      </c>
      <c r="B143" s="6" t="s">
        <v>204</v>
      </c>
      <c r="C143" s="6" t="s">
        <v>45</v>
      </c>
      <c r="D143" s="10" t="s">
        <v>205</v>
      </c>
      <c r="E143" s="10">
        <v>1</v>
      </c>
      <c r="F143" s="10" t="s">
        <v>206</v>
      </c>
      <c r="G143" s="10">
        <v>-1</v>
      </c>
      <c r="H143" s="10" t="s">
        <v>206</v>
      </c>
      <c r="I143" s="27" t="s">
        <v>462</v>
      </c>
      <c r="J143" s="27" t="s">
        <v>462</v>
      </c>
      <c r="K143" s="10">
        <v>0</v>
      </c>
      <c r="L143" s="10" t="s">
        <v>79</v>
      </c>
      <c r="M143" s="6" t="s">
        <v>208</v>
      </c>
      <c r="N143" s="6" t="s">
        <v>494</v>
      </c>
      <c r="O143" s="10" t="s">
        <v>492</v>
      </c>
    </row>
    <row r="144" spans="1:15">
      <c r="A144" s="6" t="s">
        <v>495</v>
      </c>
      <c r="B144" s="6" t="s">
        <v>204</v>
      </c>
      <c r="C144" s="6" t="s">
        <v>45</v>
      </c>
      <c r="D144" s="10" t="s">
        <v>205</v>
      </c>
      <c r="E144" s="10">
        <v>1</v>
      </c>
      <c r="F144" s="10" t="s">
        <v>206</v>
      </c>
      <c r="G144" s="10">
        <v>-1</v>
      </c>
      <c r="H144" s="10" t="s">
        <v>206</v>
      </c>
      <c r="I144" s="27" t="s">
        <v>462</v>
      </c>
      <c r="J144" s="27" t="s">
        <v>462</v>
      </c>
      <c r="K144" s="10">
        <v>0</v>
      </c>
      <c r="L144" s="10" t="s">
        <v>79</v>
      </c>
      <c r="M144" s="6" t="s">
        <v>208</v>
      </c>
      <c r="N144" s="6" t="s">
        <v>496</v>
      </c>
      <c r="O144" s="10" t="s">
        <v>492</v>
      </c>
    </row>
    <row r="145" spans="1:15">
      <c r="A145" s="6" t="s">
        <v>497</v>
      </c>
      <c r="B145" s="6" t="s">
        <v>204</v>
      </c>
      <c r="C145" s="6" t="s">
        <v>45</v>
      </c>
      <c r="D145" s="10" t="s">
        <v>205</v>
      </c>
      <c r="E145" s="10">
        <v>1</v>
      </c>
      <c r="F145" s="10" t="s">
        <v>206</v>
      </c>
      <c r="G145" s="10">
        <v>-1</v>
      </c>
      <c r="H145" s="10" t="s">
        <v>206</v>
      </c>
      <c r="I145" s="27" t="s">
        <v>462</v>
      </c>
      <c r="J145" s="27" t="s">
        <v>462</v>
      </c>
      <c r="K145" s="10">
        <v>0</v>
      </c>
      <c r="L145" s="10" t="s">
        <v>79</v>
      </c>
      <c r="M145" s="6" t="s">
        <v>208</v>
      </c>
      <c r="N145" s="6" t="s">
        <v>498</v>
      </c>
      <c r="O145" s="10" t="s">
        <v>492</v>
      </c>
    </row>
    <row r="146" spans="1:15">
      <c r="A146" s="6" t="s">
        <v>499</v>
      </c>
      <c r="B146" s="6" t="s">
        <v>204</v>
      </c>
      <c r="C146" s="6" t="s">
        <v>45</v>
      </c>
      <c r="D146" s="10" t="s">
        <v>205</v>
      </c>
      <c r="E146" s="10">
        <v>1</v>
      </c>
      <c r="F146" s="10" t="s">
        <v>206</v>
      </c>
      <c r="G146" s="10">
        <v>-1</v>
      </c>
      <c r="H146" s="10" t="s">
        <v>206</v>
      </c>
      <c r="I146" s="27" t="s">
        <v>462</v>
      </c>
      <c r="J146" s="27" t="s">
        <v>462</v>
      </c>
      <c r="K146" s="10">
        <v>0</v>
      </c>
      <c r="L146" s="10" t="s">
        <v>79</v>
      </c>
      <c r="M146" s="6" t="s">
        <v>208</v>
      </c>
      <c r="N146" s="6" t="s">
        <v>500</v>
      </c>
      <c r="O146" s="10" t="s">
        <v>492</v>
      </c>
    </row>
    <row r="147" spans="1:15">
      <c r="A147" s="6" t="s">
        <v>501</v>
      </c>
      <c r="B147" s="6" t="s">
        <v>204</v>
      </c>
      <c r="C147" s="6" t="s">
        <v>45</v>
      </c>
      <c r="D147" s="10" t="s">
        <v>205</v>
      </c>
      <c r="E147" s="10">
        <v>1</v>
      </c>
      <c r="F147" s="10" t="s">
        <v>206</v>
      </c>
      <c r="G147" s="10">
        <v>-1</v>
      </c>
      <c r="H147" s="10" t="s">
        <v>206</v>
      </c>
      <c r="I147" s="27" t="s">
        <v>462</v>
      </c>
      <c r="J147" s="27" t="s">
        <v>462</v>
      </c>
      <c r="K147" s="10">
        <v>0</v>
      </c>
      <c r="L147" s="10" t="s">
        <v>79</v>
      </c>
      <c r="M147" s="6" t="s">
        <v>208</v>
      </c>
      <c r="N147" s="6" t="s">
        <v>501</v>
      </c>
      <c r="O147" s="10" t="s">
        <v>492</v>
      </c>
    </row>
    <row r="148" customFormat="1" ht="14" spans="1:15">
      <c r="A148" s="6" t="s">
        <v>502</v>
      </c>
      <c r="B148" s="6" t="s">
        <v>204</v>
      </c>
      <c r="C148" s="6" t="s">
        <v>45</v>
      </c>
      <c r="D148" s="10" t="s">
        <v>205</v>
      </c>
      <c r="E148" s="10">
        <v>1</v>
      </c>
      <c r="F148" s="10" t="s">
        <v>206</v>
      </c>
      <c r="G148" s="10">
        <v>-1</v>
      </c>
      <c r="H148" s="10" t="s">
        <v>206</v>
      </c>
      <c r="I148" s="27" t="s">
        <v>462</v>
      </c>
      <c r="J148" s="27" t="s">
        <v>462</v>
      </c>
      <c r="K148" s="10">
        <v>0</v>
      </c>
      <c r="L148" s="10" t="s">
        <v>79</v>
      </c>
      <c r="M148" s="6" t="s">
        <v>208</v>
      </c>
      <c r="N148" s="6" t="s">
        <v>502</v>
      </c>
      <c r="O148" s="10" t="s">
        <v>492</v>
      </c>
    </row>
    <row r="149" customFormat="1" ht="14" spans="1:15">
      <c r="A149" s="6" t="s">
        <v>503</v>
      </c>
      <c r="B149" s="6" t="s">
        <v>204</v>
      </c>
      <c r="C149" s="6" t="s">
        <v>45</v>
      </c>
      <c r="D149" s="10" t="s">
        <v>205</v>
      </c>
      <c r="E149" s="10">
        <v>1</v>
      </c>
      <c r="F149" s="10" t="s">
        <v>206</v>
      </c>
      <c r="G149" s="10">
        <v>-1</v>
      </c>
      <c r="H149" s="10" t="s">
        <v>206</v>
      </c>
      <c r="I149" s="27" t="s">
        <v>462</v>
      </c>
      <c r="J149" s="27" t="s">
        <v>462</v>
      </c>
      <c r="K149" s="10">
        <v>0</v>
      </c>
      <c r="L149" s="10" t="s">
        <v>79</v>
      </c>
      <c r="M149" s="6" t="s">
        <v>208</v>
      </c>
      <c r="N149" s="6" t="s">
        <v>503</v>
      </c>
      <c r="O149" s="10" t="s">
        <v>492</v>
      </c>
    </row>
    <row r="150" customFormat="1" ht="14" spans="1:15">
      <c r="A150" s="6" t="s">
        <v>504</v>
      </c>
      <c r="B150" s="6" t="s">
        <v>204</v>
      </c>
      <c r="C150" s="6" t="s">
        <v>45</v>
      </c>
      <c r="D150" s="10" t="s">
        <v>205</v>
      </c>
      <c r="E150" s="10">
        <v>1</v>
      </c>
      <c r="F150" s="10" t="s">
        <v>206</v>
      </c>
      <c r="G150" s="10">
        <v>-1</v>
      </c>
      <c r="H150" s="10" t="s">
        <v>206</v>
      </c>
      <c r="I150" s="27" t="s">
        <v>462</v>
      </c>
      <c r="J150" s="27" t="s">
        <v>462</v>
      </c>
      <c r="K150" s="10">
        <v>0</v>
      </c>
      <c r="L150" s="10" t="s">
        <v>79</v>
      </c>
      <c r="M150" s="6" t="s">
        <v>208</v>
      </c>
      <c r="N150" s="6" t="s">
        <v>504</v>
      </c>
      <c r="O150" s="10" t="s">
        <v>492</v>
      </c>
    </row>
    <row r="151" spans="1:15">
      <c r="A151" s="6" t="s">
        <v>505</v>
      </c>
      <c r="B151" s="6" t="s">
        <v>204</v>
      </c>
      <c r="C151" s="6" t="s">
        <v>45</v>
      </c>
      <c r="D151" s="10" t="s">
        <v>205</v>
      </c>
      <c r="E151" s="10">
        <v>1</v>
      </c>
      <c r="F151" s="10" t="s">
        <v>206</v>
      </c>
      <c r="G151" s="10">
        <v>-1</v>
      </c>
      <c r="H151" s="10" t="s">
        <v>206</v>
      </c>
      <c r="I151" s="10">
        <v>-10000</v>
      </c>
      <c r="J151" s="10">
        <v>10000</v>
      </c>
      <c r="K151" s="10">
        <v>0</v>
      </c>
      <c r="L151" s="10" t="s">
        <v>99</v>
      </c>
      <c r="M151" s="6" t="s">
        <v>208</v>
      </c>
      <c r="N151" s="6" t="s">
        <v>506</v>
      </c>
      <c r="O151" s="10" t="str">
        <f t="shared" ref="O151:O161" si="11">MID(A151,1,3)</f>
        <v>PMC</v>
      </c>
    </row>
    <row r="152" spans="1:15">
      <c r="A152" s="6" t="s">
        <v>507</v>
      </c>
      <c r="B152" s="6" t="s">
        <v>204</v>
      </c>
      <c r="C152" s="6" t="s">
        <v>45</v>
      </c>
      <c r="D152" s="10" t="s">
        <v>205</v>
      </c>
      <c r="E152" s="10">
        <v>1</v>
      </c>
      <c r="F152" s="10" t="s">
        <v>206</v>
      </c>
      <c r="G152" s="10">
        <v>-1</v>
      </c>
      <c r="H152" s="10" t="s">
        <v>206</v>
      </c>
      <c r="I152" s="10">
        <v>-10000</v>
      </c>
      <c r="J152" s="10">
        <v>10000</v>
      </c>
      <c r="K152" s="10">
        <v>0</v>
      </c>
      <c r="L152" s="10" t="s">
        <v>99</v>
      </c>
      <c r="M152" s="6" t="s">
        <v>208</v>
      </c>
      <c r="N152" s="6" t="s">
        <v>506</v>
      </c>
      <c r="O152" s="10" t="str">
        <f t="shared" si="11"/>
        <v>PMC</v>
      </c>
    </row>
    <row r="153" spans="1:15">
      <c r="A153" s="6" t="s">
        <v>508</v>
      </c>
      <c r="B153" s="6" t="s">
        <v>204</v>
      </c>
      <c r="C153" s="6" t="s">
        <v>42</v>
      </c>
      <c r="D153" s="10" t="s">
        <v>205</v>
      </c>
      <c r="E153" s="10">
        <v>1</v>
      </c>
      <c r="F153" s="10" t="s">
        <v>206</v>
      </c>
      <c r="G153" s="10">
        <v>-1</v>
      </c>
      <c r="H153" s="10" t="s">
        <v>206</v>
      </c>
      <c r="I153" s="10">
        <v>-32768</v>
      </c>
      <c r="J153" s="10">
        <v>32767</v>
      </c>
      <c r="K153" s="10">
        <v>0</v>
      </c>
      <c r="L153" s="10" t="s">
        <v>99</v>
      </c>
      <c r="M153" s="6" t="s">
        <v>208</v>
      </c>
      <c r="N153" s="6" t="s">
        <v>506</v>
      </c>
      <c r="O153" s="10" t="str">
        <f t="shared" si="11"/>
        <v>PMC</v>
      </c>
    </row>
    <row r="154" spans="1:15">
      <c r="A154" s="6" t="s">
        <v>509</v>
      </c>
      <c r="B154" s="6" t="s">
        <v>204</v>
      </c>
      <c r="C154" s="6" t="s">
        <v>45</v>
      </c>
      <c r="D154" s="10" t="s">
        <v>205</v>
      </c>
      <c r="E154" s="10">
        <v>1</v>
      </c>
      <c r="F154" s="10" t="s">
        <v>206</v>
      </c>
      <c r="G154" s="10">
        <v>-1</v>
      </c>
      <c r="H154" s="10" t="s">
        <v>206</v>
      </c>
      <c r="I154" s="10">
        <v>-10000</v>
      </c>
      <c r="J154" s="10">
        <v>10000</v>
      </c>
      <c r="K154" s="10">
        <v>0</v>
      </c>
      <c r="L154" s="10" t="s">
        <v>99</v>
      </c>
      <c r="M154" s="6" t="s">
        <v>208</v>
      </c>
      <c r="N154" s="6" t="s">
        <v>506</v>
      </c>
      <c r="O154" s="10" t="str">
        <f t="shared" si="11"/>
        <v>PMC</v>
      </c>
    </row>
    <row r="155" s="9" customFormat="1" spans="1:15">
      <c r="A155" s="8" t="s">
        <v>510</v>
      </c>
      <c r="B155" s="8" t="s">
        <v>204</v>
      </c>
      <c r="C155" s="6" t="s">
        <v>45</v>
      </c>
      <c r="D155" s="9" t="s">
        <v>205</v>
      </c>
      <c r="E155" s="9">
        <v>1</v>
      </c>
      <c r="F155" s="9" t="s">
        <v>206</v>
      </c>
      <c r="G155" s="9">
        <v>-1</v>
      </c>
      <c r="H155" s="9" t="s">
        <v>206</v>
      </c>
      <c r="I155" s="10">
        <v>-10000</v>
      </c>
      <c r="J155" s="10">
        <v>10000</v>
      </c>
      <c r="K155" s="9">
        <v>0</v>
      </c>
      <c r="L155" s="9" t="s">
        <v>92</v>
      </c>
      <c r="M155" s="8" t="s">
        <v>208</v>
      </c>
      <c r="N155" s="6" t="s">
        <v>506</v>
      </c>
      <c r="O155" s="9" t="str">
        <f t="shared" si="11"/>
        <v>PMC</v>
      </c>
    </row>
    <row r="156" s="9" customFormat="1" spans="1:15">
      <c r="A156" s="8" t="s">
        <v>511</v>
      </c>
      <c r="B156" s="8" t="s">
        <v>204</v>
      </c>
      <c r="C156" s="6" t="s">
        <v>45</v>
      </c>
      <c r="D156" s="9" t="s">
        <v>205</v>
      </c>
      <c r="E156" s="9">
        <v>1</v>
      </c>
      <c r="F156" s="9" t="s">
        <v>206</v>
      </c>
      <c r="G156" s="9">
        <v>-1</v>
      </c>
      <c r="H156" s="9" t="s">
        <v>206</v>
      </c>
      <c r="I156" s="10">
        <v>-10000</v>
      </c>
      <c r="J156" s="10">
        <v>10000</v>
      </c>
      <c r="K156" s="9">
        <v>0</v>
      </c>
      <c r="L156" s="9" t="s">
        <v>92</v>
      </c>
      <c r="M156" s="8" t="s">
        <v>208</v>
      </c>
      <c r="N156" s="6" t="s">
        <v>506</v>
      </c>
      <c r="O156" s="9" t="str">
        <f t="shared" si="11"/>
        <v>PMC</v>
      </c>
    </row>
    <row r="157" s="9" customFormat="1" spans="1:15">
      <c r="A157" s="8" t="s">
        <v>512</v>
      </c>
      <c r="B157" s="8" t="s">
        <v>204</v>
      </c>
      <c r="C157" s="6" t="s">
        <v>45</v>
      </c>
      <c r="D157" s="9" t="s">
        <v>205</v>
      </c>
      <c r="E157" s="9">
        <v>1</v>
      </c>
      <c r="F157" s="9" t="s">
        <v>206</v>
      </c>
      <c r="G157" s="9">
        <v>-1</v>
      </c>
      <c r="H157" s="9" t="s">
        <v>206</v>
      </c>
      <c r="I157" s="10">
        <v>-10000</v>
      </c>
      <c r="J157" s="10">
        <v>10000</v>
      </c>
      <c r="K157" s="9">
        <v>0</v>
      </c>
      <c r="L157" s="9" t="s">
        <v>92</v>
      </c>
      <c r="M157" s="8" t="s">
        <v>208</v>
      </c>
      <c r="N157" s="6" t="s">
        <v>506</v>
      </c>
      <c r="O157" s="9" t="str">
        <f t="shared" si="11"/>
        <v>PMC</v>
      </c>
    </row>
    <row r="158" s="9" customFormat="1" spans="1:15">
      <c r="A158" s="8" t="s">
        <v>513</v>
      </c>
      <c r="B158" s="8" t="s">
        <v>204</v>
      </c>
      <c r="C158" s="6" t="s">
        <v>45</v>
      </c>
      <c r="D158" s="9" t="s">
        <v>205</v>
      </c>
      <c r="E158" s="9">
        <v>1</v>
      </c>
      <c r="F158" s="9" t="s">
        <v>206</v>
      </c>
      <c r="G158" s="9">
        <v>-1</v>
      </c>
      <c r="H158" s="9" t="s">
        <v>206</v>
      </c>
      <c r="I158" s="10">
        <v>-10000</v>
      </c>
      <c r="J158" s="10">
        <v>10000</v>
      </c>
      <c r="K158" s="9">
        <v>0</v>
      </c>
      <c r="L158" s="9" t="s">
        <v>92</v>
      </c>
      <c r="M158" s="8" t="s">
        <v>208</v>
      </c>
      <c r="N158" s="6" t="s">
        <v>506</v>
      </c>
      <c r="O158" s="9" t="str">
        <f t="shared" si="11"/>
        <v>PMC</v>
      </c>
    </row>
    <row r="159" s="9" customFormat="1" spans="1:15">
      <c r="A159" s="8" t="s">
        <v>514</v>
      </c>
      <c r="B159" s="8" t="s">
        <v>204</v>
      </c>
      <c r="C159" s="6" t="s">
        <v>45</v>
      </c>
      <c r="D159" s="9" t="s">
        <v>205</v>
      </c>
      <c r="E159" s="9">
        <v>1</v>
      </c>
      <c r="F159" s="9" t="s">
        <v>206</v>
      </c>
      <c r="G159" s="9">
        <v>-1</v>
      </c>
      <c r="H159" s="9" t="s">
        <v>206</v>
      </c>
      <c r="I159" s="10">
        <v>-10000</v>
      </c>
      <c r="J159" s="10">
        <v>10000</v>
      </c>
      <c r="K159" s="9">
        <v>0</v>
      </c>
      <c r="L159" s="9" t="s">
        <v>92</v>
      </c>
      <c r="M159" s="8" t="s">
        <v>208</v>
      </c>
      <c r="N159" s="6" t="s">
        <v>506</v>
      </c>
      <c r="O159" s="9" t="str">
        <f t="shared" si="11"/>
        <v>PMC</v>
      </c>
    </row>
    <row r="160" s="9" customFormat="1" spans="1:15">
      <c r="A160" s="8" t="s">
        <v>515</v>
      </c>
      <c r="B160" s="8" t="s">
        <v>204</v>
      </c>
      <c r="C160" s="6" t="s">
        <v>45</v>
      </c>
      <c r="D160" s="9" t="s">
        <v>205</v>
      </c>
      <c r="E160" s="9">
        <v>1</v>
      </c>
      <c r="F160" s="9" t="s">
        <v>206</v>
      </c>
      <c r="G160" s="9">
        <v>-1</v>
      </c>
      <c r="H160" s="9" t="s">
        <v>206</v>
      </c>
      <c r="I160" s="10">
        <v>-10000</v>
      </c>
      <c r="J160" s="10">
        <v>10000</v>
      </c>
      <c r="K160" s="9">
        <v>0</v>
      </c>
      <c r="L160" s="9" t="s">
        <v>92</v>
      </c>
      <c r="M160" s="8" t="s">
        <v>208</v>
      </c>
      <c r="N160" s="6" t="s">
        <v>506</v>
      </c>
      <c r="O160" s="9" t="str">
        <f t="shared" si="11"/>
        <v>PMC</v>
      </c>
    </row>
    <row r="161" spans="1:15">
      <c r="A161" s="6" t="s">
        <v>516</v>
      </c>
      <c r="B161" s="6" t="s">
        <v>204</v>
      </c>
      <c r="C161" s="6" t="s">
        <v>45</v>
      </c>
      <c r="D161" s="10" t="s">
        <v>205</v>
      </c>
      <c r="E161" s="10">
        <v>1</v>
      </c>
      <c r="F161" s="10" t="s">
        <v>206</v>
      </c>
      <c r="G161" s="10">
        <v>-1</v>
      </c>
      <c r="H161" s="10" t="s">
        <v>206</v>
      </c>
      <c r="I161" s="10">
        <v>-10000</v>
      </c>
      <c r="J161" s="10">
        <v>10000</v>
      </c>
      <c r="K161" s="10">
        <v>0</v>
      </c>
      <c r="L161" s="10" t="s">
        <v>99</v>
      </c>
      <c r="M161" s="6" t="s">
        <v>208</v>
      </c>
      <c r="N161" s="6" t="s">
        <v>506</v>
      </c>
      <c r="O161" s="10" t="str">
        <f t="shared" si="11"/>
        <v>PMC</v>
      </c>
    </row>
    <row r="162" customFormat="1" ht="14" spans="1:15">
      <c r="A162" s="6" t="s">
        <v>517</v>
      </c>
      <c r="B162" s="6" t="s">
        <v>204</v>
      </c>
      <c r="C162" s="6" t="s">
        <v>45</v>
      </c>
      <c r="D162" s="10" t="s">
        <v>205</v>
      </c>
      <c r="E162" s="10">
        <v>1</v>
      </c>
      <c r="F162" s="10" t="s">
        <v>206</v>
      </c>
      <c r="G162" s="10">
        <v>-1</v>
      </c>
      <c r="H162" s="10" t="s">
        <v>206</v>
      </c>
      <c r="I162" s="27" t="s">
        <v>462</v>
      </c>
      <c r="J162" s="27" t="s">
        <v>462</v>
      </c>
      <c r="K162" s="10">
        <v>0</v>
      </c>
      <c r="L162" s="10" t="s">
        <v>79</v>
      </c>
      <c r="M162" s="6" t="s">
        <v>208</v>
      </c>
      <c r="N162" s="6" t="s">
        <v>506</v>
      </c>
      <c r="O162" s="10" t="s">
        <v>492</v>
      </c>
    </row>
    <row r="163" customFormat="1" ht="14" spans="1:15">
      <c r="A163" s="6" t="s">
        <v>518</v>
      </c>
      <c r="B163" s="6" t="s">
        <v>204</v>
      </c>
      <c r="C163" s="6" t="s">
        <v>45</v>
      </c>
      <c r="D163" s="10" t="s">
        <v>205</v>
      </c>
      <c r="E163" s="10">
        <v>1</v>
      </c>
      <c r="F163" s="10" t="s">
        <v>206</v>
      </c>
      <c r="G163" s="10">
        <v>-1</v>
      </c>
      <c r="H163" s="10" t="s">
        <v>206</v>
      </c>
      <c r="I163" s="27" t="s">
        <v>462</v>
      </c>
      <c r="J163" s="27" t="s">
        <v>462</v>
      </c>
      <c r="K163" s="10">
        <v>0</v>
      </c>
      <c r="L163" s="10" t="s">
        <v>79</v>
      </c>
      <c r="M163" s="6" t="s">
        <v>208</v>
      </c>
      <c r="N163" s="6" t="s">
        <v>506</v>
      </c>
      <c r="O163" s="10" t="s">
        <v>492</v>
      </c>
    </row>
    <row r="164" customFormat="1" ht="14" spans="1:15">
      <c r="A164" s="6" t="s">
        <v>519</v>
      </c>
      <c r="B164" s="6" t="s">
        <v>204</v>
      </c>
      <c r="C164" s="6" t="s">
        <v>45</v>
      </c>
      <c r="D164" s="10" t="s">
        <v>205</v>
      </c>
      <c r="E164" s="10">
        <v>1</v>
      </c>
      <c r="F164" s="10" t="s">
        <v>206</v>
      </c>
      <c r="G164" s="10">
        <v>-1</v>
      </c>
      <c r="H164" s="10" t="s">
        <v>206</v>
      </c>
      <c r="I164" s="27" t="s">
        <v>462</v>
      </c>
      <c r="J164" s="27" t="s">
        <v>462</v>
      </c>
      <c r="K164" s="10">
        <v>0</v>
      </c>
      <c r="L164" s="10" t="s">
        <v>79</v>
      </c>
      <c r="M164" s="6" t="s">
        <v>208</v>
      </c>
      <c r="N164" s="6" t="s">
        <v>506</v>
      </c>
      <c r="O164" s="10" t="s">
        <v>492</v>
      </c>
    </row>
    <row r="165" customFormat="1" ht="14" spans="1:15">
      <c r="A165" s="6" t="s">
        <v>520</v>
      </c>
      <c r="B165" s="6" t="s">
        <v>204</v>
      </c>
      <c r="C165" s="6" t="s">
        <v>45</v>
      </c>
      <c r="D165" s="10" t="s">
        <v>205</v>
      </c>
      <c r="E165" s="10">
        <v>1</v>
      </c>
      <c r="F165" s="10" t="s">
        <v>206</v>
      </c>
      <c r="G165" s="10">
        <v>-1</v>
      </c>
      <c r="H165" s="10" t="s">
        <v>206</v>
      </c>
      <c r="I165" s="27" t="s">
        <v>462</v>
      </c>
      <c r="J165" s="27" t="s">
        <v>462</v>
      </c>
      <c r="K165" s="10">
        <v>0</v>
      </c>
      <c r="L165" s="10" t="s">
        <v>79</v>
      </c>
      <c r="M165" s="6" t="s">
        <v>208</v>
      </c>
      <c r="N165" s="6" t="s">
        <v>506</v>
      </c>
      <c r="O165" s="10" t="s">
        <v>492</v>
      </c>
    </row>
    <row r="166" customFormat="1" ht="14" spans="1:15">
      <c r="A166" s="6" t="s">
        <v>521</v>
      </c>
      <c r="B166" s="6" t="s">
        <v>204</v>
      </c>
      <c r="C166" s="6" t="s">
        <v>45</v>
      </c>
      <c r="D166" s="10" t="s">
        <v>205</v>
      </c>
      <c r="E166" s="10">
        <v>1</v>
      </c>
      <c r="F166" s="10" t="s">
        <v>206</v>
      </c>
      <c r="G166" s="10">
        <v>-1</v>
      </c>
      <c r="H166" s="10" t="s">
        <v>206</v>
      </c>
      <c r="I166" s="27" t="s">
        <v>462</v>
      </c>
      <c r="J166" s="27" t="s">
        <v>462</v>
      </c>
      <c r="K166" s="10">
        <v>0</v>
      </c>
      <c r="L166" s="10" t="s">
        <v>79</v>
      </c>
      <c r="M166" s="6" t="s">
        <v>208</v>
      </c>
      <c r="N166" s="6" t="s">
        <v>506</v>
      </c>
      <c r="O166" s="10" t="s">
        <v>492</v>
      </c>
    </row>
    <row r="167" customFormat="1" ht="14" spans="1:15">
      <c r="A167" s="6" t="s">
        <v>522</v>
      </c>
      <c r="B167" s="6" t="s">
        <v>204</v>
      </c>
      <c r="C167" s="6" t="s">
        <v>45</v>
      </c>
      <c r="D167" s="10" t="s">
        <v>205</v>
      </c>
      <c r="E167" s="10">
        <v>1</v>
      </c>
      <c r="F167" s="10" t="s">
        <v>206</v>
      </c>
      <c r="G167" s="10">
        <v>-1</v>
      </c>
      <c r="H167" s="10" t="s">
        <v>206</v>
      </c>
      <c r="I167" s="27" t="s">
        <v>462</v>
      </c>
      <c r="J167" s="27" t="s">
        <v>462</v>
      </c>
      <c r="K167" s="10">
        <v>0</v>
      </c>
      <c r="L167" s="10" t="s">
        <v>79</v>
      </c>
      <c r="M167" s="6" t="s">
        <v>208</v>
      </c>
      <c r="N167" s="6" t="s">
        <v>506</v>
      </c>
      <c r="O167" s="10" t="s">
        <v>492</v>
      </c>
    </row>
    <row r="168" customFormat="1" ht="14" spans="1:15">
      <c r="A168" s="6" t="s">
        <v>523</v>
      </c>
      <c r="B168" s="6" t="s">
        <v>204</v>
      </c>
      <c r="C168" s="6" t="s">
        <v>45</v>
      </c>
      <c r="D168" s="10" t="s">
        <v>205</v>
      </c>
      <c r="E168" s="10">
        <v>1</v>
      </c>
      <c r="F168" s="10" t="s">
        <v>206</v>
      </c>
      <c r="G168" s="10">
        <v>-1</v>
      </c>
      <c r="H168" s="10" t="s">
        <v>206</v>
      </c>
      <c r="I168" s="27" t="s">
        <v>462</v>
      </c>
      <c r="J168" s="27" t="s">
        <v>462</v>
      </c>
      <c r="K168" s="10">
        <v>0</v>
      </c>
      <c r="L168" s="10" t="s">
        <v>79</v>
      </c>
      <c r="M168" s="6" t="s">
        <v>208</v>
      </c>
      <c r="N168" s="6" t="s">
        <v>506</v>
      </c>
      <c r="O168" s="10" t="s">
        <v>492</v>
      </c>
    </row>
    <row r="169" customFormat="1" ht="14" spans="1:15">
      <c r="A169" s="6" t="s">
        <v>524</v>
      </c>
      <c r="B169" s="6" t="s">
        <v>204</v>
      </c>
      <c r="C169" s="6" t="s">
        <v>45</v>
      </c>
      <c r="D169" s="10" t="s">
        <v>205</v>
      </c>
      <c r="E169" s="10">
        <v>1</v>
      </c>
      <c r="F169" s="10" t="s">
        <v>206</v>
      </c>
      <c r="G169" s="10">
        <v>-1</v>
      </c>
      <c r="H169" s="10" t="s">
        <v>206</v>
      </c>
      <c r="I169" s="27" t="s">
        <v>462</v>
      </c>
      <c r="J169" s="27" t="s">
        <v>462</v>
      </c>
      <c r="K169" s="10">
        <v>0</v>
      </c>
      <c r="L169" s="10" t="s">
        <v>79</v>
      </c>
      <c r="M169" s="6" t="s">
        <v>208</v>
      </c>
      <c r="N169" s="6" t="s">
        <v>506</v>
      </c>
      <c r="O169" s="10" t="s">
        <v>492</v>
      </c>
    </row>
    <row r="170" customFormat="1" ht="14" spans="1:15">
      <c r="A170" s="6" t="s">
        <v>525</v>
      </c>
      <c r="B170" s="6" t="s">
        <v>204</v>
      </c>
      <c r="C170" s="6" t="s">
        <v>45</v>
      </c>
      <c r="D170" s="10" t="s">
        <v>205</v>
      </c>
      <c r="E170" s="10">
        <v>1</v>
      </c>
      <c r="F170" s="10" t="s">
        <v>206</v>
      </c>
      <c r="G170" s="10">
        <v>-1</v>
      </c>
      <c r="H170" s="10" t="s">
        <v>206</v>
      </c>
      <c r="I170" s="27" t="s">
        <v>462</v>
      </c>
      <c r="J170" s="27" t="s">
        <v>462</v>
      </c>
      <c r="K170" s="10">
        <v>0</v>
      </c>
      <c r="L170" s="10" t="s">
        <v>79</v>
      </c>
      <c r="M170" s="6" t="s">
        <v>208</v>
      </c>
      <c r="N170" s="6" t="s">
        <v>506</v>
      </c>
      <c r="O170" s="10" t="s">
        <v>492</v>
      </c>
    </row>
    <row r="171" customFormat="1" ht="14" spans="1:15">
      <c r="A171" s="6" t="s">
        <v>526</v>
      </c>
      <c r="B171" s="6" t="s">
        <v>204</v>
      </c>
      <c r="C171" s="6" t="s">
        <v>45</v>
      </c>
      <c r="D171" s="10" t="s">
        <v>205</v>
      </c>
      <c r="E171" s="10">
        <v>1</v>
      </c>
      <c r="F171" s="10" t="s">
        <v>206</v>
      </c>
      <c r="G171" s="10">
        <v>-1</v>
      </c>
      <c r="H171" s="10" t="s">
        <v>206</v>
      </c>
      <c r="I171" s="27" t="s">
        <v>462</v>
      </c>
      <c r="J171" s="27" t="s">
        <v>462</v>
      </c>
      <c r="K171" s="10">
        <v>0</v>
      </c>
      <c r="L171" s="10" t="s">
        <v>79</v>
      </c>
      <c r="M171" s="6" t="s">
        <v>208</v>
      </c>
      <c r="N171" s="6" t="s">
        <v>506</v>
      </c>
      <c r="O171" s="10" t="s">
        <v>492</v>
      </c>
    </row>
    <row r="172" customFormat="1" ht="14" spans="1:15">
      <c r="A172" s="6" t="s">
        <v>527</v>
      </c>
      <c r="B172" s="6" t="s">
        <v>204</v>
      </c>
      <c r="C172" s="6" t="s">
        <v>45</v>
      </c>
      <c r="D172" s="10" t="s">
        <v>205</v>
      </c>
      <c r="E172" s="10">
        <v>1</v>
      </c>
      <c r="F172" s="10" t="s">
        <v>206</v>
      </c>
      <c r="G172" s="10">
        <v>-1</v>
      </c>
      <c r="H172" s="10" t="s">
        <v>206</v>
      </c>
      <c r="I172" s="27" t="s">
        <v>462</v>
      </c>
      <c r="J172" s="27" t="s">
        <v>462</v>
      </c>
      <c r="K172" s="10">
        <v>0</v>
      </c>
      <c r="L172" s="10" t="s">
        <v>79</v>
      </c>
      <c r="M172" s="6" t="s">
        <v>208</v>
      </c>
      <c r="N172" s="6" t="s">
        <v>506</v>
      </c>
      <c r="O172" s="10" t="s">
        <v>492</v>
      </c>
    </row>
    <row r="173" customFormat="1" ht="14" spans="1:15">
      <c r="A173" s="6" t="s">
        <v>528</v>
      </c>
      <c r="B173" s="6" t="s">
        <v>204</v>
      </c>
      <c r="C173" s="6" t="s">
        <v>45</v>
      </c>
      <c r="D173" s="10" t="s">
        <v>205</v>
      </c>
      <c r="E173" s="10">
        <v>1</v>
      </c>
      <c r="F173" s="10" t="s">
        <v>206</v>
      </c>
      <c r="G173" s="10">
        <v>-1</v>
      </c>
      <c r="H173" s="10" t="s">
        <v>206</v>
      </c>
      <c r="I173" s="27" t="s">
        <v>462</v>
      </c>
      <c r="J173" s="27" t="s">
        <v>462</v>
      </c>
      <c r="K173" s="10">
        <v>0</v>
      </c>
      <c r="L173" s="10" t="s">
        <v>79</v>
      </c>
      <c r="M173" s="6" t="s">
        <v>208</v>
      </c>
      <c r="N173" s="6" t="s">
        <v>506</v>
      </c>
      <c r="O173" s="10" t="s">
        <v>492</v>
      </c>
    </row>
  </sheetData>
  <autoFilter ref="A1:O173">
    <extLst/>
  </autoFilter>
  <dataValidations count="15">
    <dataValidation type="list" allowBlank="1" showInputMessage="1" showErrorMessage="1" sqref="B1 B57 B142 B143 B144 B145 B146 B147 B2:B4 B5:B8 B9:B45 B46:B56 B58:B91 B92:B104 B105:B107 B110:B127 B128:B141 B148:B150 B174:B1048576">
      <formula1>Comment!$B$17</formula1>
    </dataValidation>
    <dataValidation type="list" allowBlank="1" showInputMessage="1" showErrorMessage="1" sqref="F1 F57 F128 F142 F143 F144 F145 F146 F147 F2:F4 F5:F8 F9:F45 F46:F56 F58:F91 F92:F104 F105:F107 F110:F127 F129:F141 F148:F150 F174:F1048576">
      <formula1>Comment!$F$17:$F$19</formula1>
    </dataValidation>
    <dataValidation type="list" allowBlank="1" showInputMessage="1" showErrorMessage="1" sqref="C1 C57 C142 C143 C144 C145 C146 C147 C2:C4 C5:C8 C9:C45 C46:C56 C58:C91 C92:C104 C105:C107 C110:C127 C128:C141 C148:C150 C174:C1048576">
      <formula1>DataTypeDefinition!$A$2:$A$31</formula1>
    </dataValidation>
    <dataValidation type="list" allowBlank="1" showInputMessage="1" sqref="M57 M142 M143 M144 M145 M146 M147 M2:M4 M5:M8 M9:M45 M46:M56 M58:M91 M92:M104 M105:M127 M128:M141">
      <formula1>Comment!$L$17:$L$22</formula1>
    </dataValidation>
    <dataValidation type="list" allowBlank="1" showInputMessage="1" showErrorMessage="1" sqref="D1 D57 D142 D143 D144 D145 D146 D147 D2:D4 D5:D8 D9:D45 D46:D56 D58:D91 D92:D104 D105:D107 D110:D127 D128:D141 D148:D150 D174:D1048576">
      <formula1>Comment!$D$17</formula1>
    </dataValidation>
    <dataValidation type="list" allowBlank="1" showInputMessage="1" showErrorMessage="1" sqref="C151 C152 C153 C154 C161 C164 C165 C166 C167 C168 C169 C170 C171 C172 C173 C162:C163">
      <formula1>[3]DataTypeDefinition!#REF!</formula1>
    </dataValidation>
    <dataValidation type="list" allowBlank="1" showInputMessage="1" showErrorMessage="1" sqref="B151 D151 F151 H151 B152 D152 F152 H152 B153 D153 F153 H153 B154 D154 F154 H154 B161 D161 F161 H161 B164 D164 F164 H164 M164 B165 D165 F165 H165 M165 B166 D166 F166 H166 M166 B167 D167 F167 H167 M167 B168 D168 F168 H168 M168 B169 D169 F169 H169 M169 B170 D170 F170 H170 M170 B171 D171 F171 H171 M171 B172 D172 F172 H172 M172 B173 D173 F173 H173 M173 B162:B163 D162:D163 F162:F163 H162:H163 M162:M163">
      <formula1>[3]Comment!#REF!</formula1>
    </dataValidation>
    <dataValidation type="list" allowBlank="1" showInputMessage="1" showErrorMessage="1" sqref="H1 H57 H142 H143 H144 H145 H146 H147 H2:H4 H5:H8 H9:H45 H46:H56 H58:H91 H92:H104 H105:H107 H110:H127 H128:H141 H148:H150 H174:H1048576">
      <formula1>Comment!$H$17:$H$19</formula1>
    </dataValidation>
    <dataValidation type="list" allowBlank="1" showInputMessage="1" showErrorMessage="1" sqref="M1 M148:M150 M174:M1048576">
      <formula1>Comment!$L$17:$L$18</formula1>
    </dataValidation>
    <dataValidation type="list" allowBlank="1" showInputMessage="1" sqref="M151 M152 M153 M154 M161">
      <formula1>[3]Comment!#REF!</formula1>
    </dataValidation>
    <dataValidation type="list" allowBlank="1" showInputMessage="1" showErrorMessage="1" sqref="C155 C156 C157 C158 C159 C160">
      <formula1>[2]DataTypeDefinition!#REF!</formula1>
    </dataValidation>
    <dataValidation type="list" allowBlank="1" showInputMessage="1" showErrorMessage="1" sqref="B155 D155 F155 H155 B156 D156 F156 H156 B157 D157 F157 H157 B158 D158 F158 H158 B159 D159 F159 H159 B160 D160 F160 H160">
      <formula1>[2]Comment!#REF!</formula1>
    </dataValidation>
    <dataValidation type="list" allowBlank="1" showInputMessage="1" sqref="M155 M156 M157 M158 M159 M160">
      <formula1>[2]Comment!#REF!</formula1>
    </dataValidation>
    <dataValidation type="list" allowBlank="1" showInputMessage="1" showErrorMessage="1" sqref="C108:C109">
      <formula1>[1]DataTypeDefinition!#REF!</formula1>
    </dataValidation>
    <dataValidation type="list" allowBlank="1" showInputMessage="1" showErrorMessage="1" sqref="B108:B109 D108:D109 F108:F109 H108:H109">
      <formula1>[1]Comment!#REF!</formula1>
    </dataValidation>
  </dataValidations>
  <pageMargins left="0.699305555555556" right="0.699305555555556" top="0.75" bottom="0.75" header="0.3" footer="0.3"/>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4"/>
  <sheetViews>
    <sheetView workbookViewId="0">
      <pane ySplit="1" topLeftCell="A191" activePane="bottomLeft" state="frozen"/>
      <selection/>
      <selection pane="bottomLeft" activeCell="A198" sqref="$A198:$XFD198"/>
    </sheetView>
  </sheetViews>
  <sheetFormatPr defaultColWidth="9" defaultRowHeight="14"/>
  <cols>
    <col min="1" max="1" width="25.6363636363636" style="7" customWidth="1"/>
    <col min="2" max="2" width="18.6363636363636" style="7" customWidth="1"/>
    <col min="3" max="3" width="10.5" style="7" customWidth="1"/>
    <col min="4" max="4" width="15" style="7" customWidth="1"/>
    <col min="5" max="5" width="29.3636363636364" style="7" customWidth="1"/>
    <col min="6" max="6" width="10.8727272727273" style="7" customWidth="1"/>
    <col min="7" max="7" width="10" style="7" customWidth="1"/>
    <col min="8" max="8" width="4.62727272727273" style="7" customWidth="1"/>
    <col min="9" max="9" width="5" style="7" customWidth="1"/>
    <col min="10" max="10" width="8.62727272727273" style="7" customWidth="1"/>
    <col min="11" max="11" width="10.2545454545455" style="7" customWidth="1"/>
    <col min="12" max="16384" width="9" style="7"/>
  </cols>
  <sheetData>
    <row r="1" s="5" customFormat="1" ht="11.5" spans="1:11">
      <c r="A1" s="5" t="s">
        <v>529</v>
      </c>
      <c r="B1" s="5" t="s">
        <v>530</v>
      </c>
      <c r="C1" s="5" t="s">
        <v>198</v>
      </c>
      <c r="D1" s="5" t="s">
        <v>531</v>
      </c>
      <c r="E1" s="5" t="s">
        <v>71</v>
      </c>
      <c r="F1" s="5" t="s">
        <v>200</v>
      </c>
      <c r="G1" s="5" t="s">
        <v>197</v>
      </c>
      <c r="H1" s="5" t="s">
        <v>33</v>
      </c>
      <c r="I1" s="5" t="s">
        <v>34</v>
      </c>
      <c r="J1" s="5" t="s">
        <v>532</v>
      </c>
      <c r="K1" s="5" t="s">
        <v>11</v>
      </c>
    </row>
    <row r="2" spans="1:12">
      <c r="A2" s="6" t="s">
        <v>533</v>
      </c>
      <c r="B2" s="6" t="s">
        <v>534</v>
      </c>
      <c r="C2" s="6">
        <v>1</v>
      </c>
      <c r="D2" s="6" t="s">
        <v>386</v>
      </c>
      <c r="E2" s="6" t="s">
        <v>41</v>
      </c>
      <c r="F2" s="6">
        <v>-1</v>
      </c>
      <c r="G2" s="6" t="s">
        <v>205</v>
      </c>
      <c r="H2" s="6"/>
      <c r="I2" s="6"/>
      <c r="J2" s="6"/>
      <c r="K2" s="6"/>
      <c r="L2" s="6"/>
    </row>
    <row r="3" spans="1:12">
      <c r="A3" s="6" t="s">
        <v>535</v>
      </c>
      <c r="B3" s="6" t="s">
        <v>536</v>
      </c>
      <c r="C3" s="6">
        <v>1</v>
      </c>
      <c r="D3" s="6" t="s">
        <v>386</v>
      </c>
      <c r="E3" s="6" t="s">
        <v>218</v>
      </c>
      <c r="F3" s="6">
        <v>-1</v>
      </c>
      <c r="G3" s="6" t="s">
        <v>205</v>
      </c>
      <c r="H3" s="6"/>
      <c r="I3" s="6"/>
      <c r="J3" s="6"/>
      <c r="K3" s="6"/>
      <c r="L3" s="6"/>
    </row>
    <row r="4" spans="1:12">
      <c r="A4" s="6" t="s">
        <v>537</v>
      </c>
      <c r="B4" s="6" t="s">
        <v>536</v>
      </c>
      <c r="C4" s="6">
        <v>1</v>
      </c>
      <c r="D4" s="6" t="s">
        <v>386</v>
      </c>
      <c r="E4" s="6" t="s">
        <v>46</v>
      </c>
      <c r="F4" s="6">
        <v>-1</v>
      </c>
      <c r="G4" s="6" t="s">
        <v>205</v>
      </c>
      <c r="H4" s="6"/>
      <c r="I4" s="6"/>
      <c r="J4" s="6"/>
      <c r="K4" s="6"/>
      <c r="L4" s="6"/>
    </row>
    <row r="5" spans="1:12">
      <c r="A5" s="6" t="s">
        <v>538</v>
      </c>
      <c r="B5" s="6" t="s">
        <v>536</v>
      </c>
      <c r="C5" s="6">
        <v>1</v>
      </c>
      <c r="D5" s="6" t="s">
        <v>386</v>
      </c>
      <c r="E5" s="6" t="s">
        <v>46</v>
      </c>
      <c r="F5" s="6">
        <v>-1</v>
      </c>
      <c r="G5" s="6" t="s">
        <v>205</v>
      </c>
      <c r="H5" s="6"/>
      <c r="I5" s="6"/>
      <c r="J5" s="6"/>
      <c r="K5" s="6"/>
      <c r="L5" s="6"/>
    </row>
    <row r="6" spans="1:12">
      <c r="A6" s="6" t="s">
        <v>539</v>
      </c>
      <c r="B6" s="6" t="s">
        <v>536</v>
      </c>
      <c r="C6" s="6">
        <v>1</v>
      </c>
      <c r="D6" s="6" t="s">
        <v>386</v>
      </c>
      <c r="E6" s="6" t="s">
        <v>46</v>
      </c>
      <c r="F6" s="6">
        <v>-1</v>
      </c>
      <c r="G6" s="6" t="s">
        <v>205</v>
      </c>
      <c r="H6" s="6"/>
      <c r="I6" s="6"/>
      <c r="J6" s="6"/>
      <c r="K6" s="6"/>
      <c r="L6" s="6"/>
    </row>
    <row r="7" spans="1:12">
      <c r="A7" s="6" t="s">
        <v>540</v>
      </c>
      <c r="B7" s="6" t="s">
        <v>536</v>
      </c>
      <c r="C7" s="6">
        <v>1</v>
      </c>
      <c r="D7" s="6" t="s">
        <v>386</v>
      </c>
      <c r="E7" s="6" t="s">
        <v>46</v>
      </c>
      <c r="F7" s="6">
        <v>-1</v>
      </c>
      <c r="G7" s="6" t="s">
        <v>205</v>
      </c>
      <c r="H7" s="6"/>
      <c r="I7" s="6"/>
      <c r="J7" s="6"/>
      <c r="K7" s="6"/>
      <c r="L7" s="6"/>
    </row>
    <row r="8" spans="1:12">
      <c r="A8" s="6" t="s">
        <v>319</v>
      </c>
      <c r="B8" s="6" t="s">
        <v>536</v>
      </c>
      <c r="C8" s="6">
        <v>1</v>
      </c>
      <c r="D8" s="6" t="s">
        <v>386</v>
      </c>
      <c r="E8" s="6" t="s">
        <v>45</v>
      </c>
      <c r="F8" s="6">
        <v>-1</v>
      </c>
      <c r="G8" s="6" t="s">
        <v>205</v>
      </c>
      <c r="H8" s="6"/>
      <c r="I8" s="6"/>
      <c r="J8" s="6"/>
      <c r="K8" s="6"/>
      <c r="L8" s="6"/>
    </row>
    <row r="9" s="6" customFormat="1" ht="11.5" spans="1:7">
      <c r="A9" s="6" t="s">
        <v>541</v>
      </c>
      <c r="B9" s="6" t="s">
        <v>536</v>
      </c>
      <c r="C9" s="6">
        <v>1</v>
      </c>
      <c r="D9" s="6" t="s">
        <v>386</v>
      </c>
      <c r="E9" s="6" t="s">
        <v>45</v>
      </c>
      <c r="F9" s="6">
        <v>-1</v>
      </c>
      <c r="G9" s="6" t="s">
        <v>205</v>
      </c>
    </row>
    <row r="10" ht="12" customHeight="1" spans="1:12">
      <c r="A10" s="6" t="s">
        <v>421</v>
      </c>
      <c r="B10" s="6" t="s">
        <v>536</v>
      </c>
      <c r="C10" s="6">
        <v>1</v>
      </c>
      <c r="D10" s="6" t="s">
        <v>386</v>
      </c>
      <c r="E10" s="6" t="s">
        <v>45</v>
      </c>
      <c r="F10" s="6">
        <v>-1</v>
      </c>
      <c r="G10" s="6" t="s">
        <v>205</v>
      </c>
      <c r="H10" s="6"/>
      <c r="I10" s="6"/>
      <c r="J10" s="6"/>
      <c r="K10" s="6"/>
      <c r="L10" s="6"/>
    </row>
    <row r="11" ht="12" customHeight="1" spans="1:12">
      <c r="A11" s="6" t="s">
        <v>423</v>
      </c>
      <c r="B11" s="6" t="s">
        <v>536</v>
      </c>
      <c r="C11" s="6">
        <v>1</v>
      </c>
      <c r="D11" s="6" t="s">
        <v>386</v>
      </c>
      <c r="E11" s="6" t="s">
        <v>45</v>
      </c>
      <c r="F11" s="6">
        <v>-1</v>
      </c>
      <c r="G11" s="6" t="s">
        <v>205</v>
      </c>
      <c r="H11" s="6"/>
      <c r="I11" s="6"/>
      <c r="J11" s="6"/>
      <c r="K11" s="6"/>
      <c r="L11" s="6"/>
    </row>
    <row r="12" s="6" customFormat="1" ht="11.5" spans="1:7">
      <c r="A12" s="6" t="s">
        <v>542</v>
      </c>
      <c r="B12" s="6" t="s">
        <v>543</v>
      </c>
      <c r="C12" s="6">
        <v>1</v>
      </c>
      <c r="D12" s="6" t="s">
        <v>386</v>
      </c>
      <c r="E12" s="6" t="s">
        <v>45</v>
      </c>
      <c r="F12" s="6">
        <v>-1</v>
      </c>
      <c r="G12" s="6" t="s">
        <v>205</v>
      </c>
    </row>
    <row r="13" s="6" customFormat="1" ht="11.5" spans="1:7">
      <c r="A13" s="6" t="s">
        <v>544</v>
      </c>
      <c r="B13" s="6" t="s">
        <v>543</v>
      </c>
      <c r="C13" s="6">
        <v>1</v>
      </c>
      <c r="D13" s="6" t="s">
        <v>386</v>
      </c>
      <c r="E13" s="6" t="s">
        <v>45</v>
      </c>
      <c r="F13" s="6">
        <v>-1</v>
      </c>
      <c r="G13" s="6" t="s">
        <v>205</v>
      </c>
    </row>
    <row r="14" s="6" customFormat="1" ht="11.5" spans="1:7">
      <c r="A14" s="6" t="s">
        <v>545</v>
      </c>
      <c r="B14" s="6" t="s">
        <v>543</v>
      </c>
      <c r="C14" s="6">
        <v>1</v>
      </c>
      <c r="D14" s="6" t="s">
        <v>386</v>
      </c>
      <c r="E14" s="6" t="s">
        <v>45</v>
      </c>
      <c r="F14" s="6">
        <v>-1</v>
      </c>
      <c r="G14" s="6" t="s">
        <v>205</v>
      </c>
    </row>
    <row r="15" s="6" customFormat="1" ht="11.5" spans="1:7">
      <c r="A15" s="6" t="s">
        <v>309</v>
      </c>
      <c r="B15" s="6" t="s">
        <v>543</v>
      </c>
      <c r="C15" s="6">
        <v>1</v>
      </c>
      <c r="D15" s="6" t="s">
        <v>386</v>
      </c>
      <c r="E15" s="6" t="s">
        <v>45</v>
      </c>
      <c r="F15" s="6">
        <v>-1</v>
      </c>
      <c r="G15" s="6" t="s">
        <v>205</v>
      </c>
    </row>
    <row r="16" s="6" customFormat="1" ht="11.5" spans="1:7">
      <c r="A16" s="6" t="s">
        <v>313</v>
      </c>
      <c r="B16" s="6" t="s">
        <v>543</v>
      </c>
      <c r="C16" s="6">
        <v>1</v>
      </c>
      <c r="D16" s="6" t="s">
        <v>386</v>
      </c>
      <c r="E16" s="6" t="s">
        <v>45</v>
      </c>
      <c r="F16" s="6">
        <v>-1</v>
      </c>
      <c r="G16" s="6" t="s">
        <v>205</v>
      </c>
    </row>
    <row r="17" s="6" customFormat="1" ht="11.5" spans="1:7">
      <c r="A17" s="6" t="s">
        <v>287</v>
      </c>
      <c r="B17" s="6" t="s">
        <v>543</v>
      </c>
      <c r="C17" s="6">
        <v>1</v>
      </c>
      <c r="D17" s="6" t="s">
        <v>386</v>
      </c>
      <c r="E17" s="6" t="s">
        <v>45</v>
      </c>
      <c r="F17" s="6">
        <v>-1</v>
      </c>
      <c r="G17" s="6" t="s">
        <v>205</v>
      </c>
    </row>
    <row r="18" s="6" customFormat="1" ht="11.5" spans="1:7">
      <c r="A18" s="6" t="s">
        <v>247</v>
      </c>
      <c r="B18" s="6" t="s">
        <v>543</v>
      </c>
      <c r="C18" s="6">
        <v>1</v>
      </c>
      <c r="D18" s="6" t="s">
        <v>386</v>
      </c>
      <c r="E18" s="6" t="s">
        <v>45</v>
      </c>
      <c r="F18" s="6">
        <v>-1</v>
      </c>
      <c r="G18" s="6" t="s">
        <v>205</v>
      </c>
    </row>
    <row r="19" s="6" customFormat="1" ht="11.5" spans="1:7">
      <c r="A19" s="6" t="s">
        <v>295</v>
      </c>
      <c r="B19" s="6" t="s">
        <v>543</v>
      </c>
      <c r="C19" s="6">
        <v>1</v>
      </c>
      <c r="D19" s="6" t="s">
        <v>386</v>
      </c>
      <c r="E19" s="6" t="s">
        <v>38</v>
      </c>
      <c r="F19" s="6">
        <v>-1</v>
      </c>
      <c r="G19" s="6" t="s">
        <v>205</v>
      </c>
    </row>
    <row r="20" s="6" customFormat="1" ht="11.5" spans="1:7">
      <c r="A20" s="6" t="s">
        <v>277</v>
      </c>
      <c r="B20" s="6" t="s">
        <v>543</v>
      </c>
      <c r="C20" s="6">
        <v>1</v>
      </c>
      <c r="D20" s="6" t="s">
        <v>386</v>
      </c>
      <c r="E20" s="6" t="s">
        <v>42</v>
      </c>
      <c r="F20" s="6">
        <v>-1</v>
      </c>
      <c r="G20" s="6" t="s">
        <v>205</v>
      </c>
    </row>
    <row r="21" s="6" customFormat="1" ht="11.5" spans="1:7">
      <c r="A21" s="6" t="s">
        <v>251</v>
      </c>
      <c r="B21" s="6" t="s">
        <v>543</v>
      </c>
      <c r="C21" s="6">
        <v>1</v>
      </c>
      <c r="D21" s="6" t="s">
        <v>386</v>
      </c>
      <c r="E21" s="6" t="s">
        <v>45</v>
      </c>
      <c r="F21" s="6">
        <v>-1</v>
      </c>
      <c r="G21" s="6" t="s">
        <v>205</v>
      </c>
    </row>
    <row r="22" s="6" customFormat="1" ht="11.5" spans="1:7">
      <c r="A22" s="6" t="s">
        <v>253</v>
      </c>
      <c r="B22" s="6" t="s">
        <v>543</v>
      </c>
      <c r="C22" s="6">
        <v>1</v>
      </c>
      <c r="D22" s="6" t="s">
        <v>386</v>
      </c>
      <c r="E22" s="6" t="s">
        <v>45</v>
      </c>
      <c r="F22" s="6">
        <v>-1</v>
      </c>
      <c r="G22" s="6" t="s">
        <v>205</v>
      </c>
    </row>
    <row r="23" s="6" customFormat="1" ht="11.5" spans="1:7">
      <c r="A23" s="6" t="s">
        <v>273</v>
      </c>
      <c r="B23" s="6" t="s">
        <v>543</v>
      </c>
      <c r="C23" s="6">
        <v>1</v>
      </c>
      <c r="D23" s="6" t="s">
        <v>386</v>
      </c>
      <c r="E23" s="6" t="s">
        <v>42</v>
      </c>
      <c r="F23" s="6">
        <v>-1</v>
      </c>
      <c r="G23" s="6" t="s">
        <v>205</v>
      </c>
    </row>
    <row r="24" s="6" customFormat="1" ht="11.5" spans="1:7">
      <c r="A24" s="6" t="s">
        <v>352</v>
      </c>
      <c r="B24" s="6" t="s">
        <v>543</v>
      </c>
      <c r="C24" s="6">
        <v>1</v>
      </c>
      <c r="D24" s="6" t="s">
        <v>386</v>
      </c>
      <c r="E24" s="6" t="s">
        <v>45</v>
      </c>
      <c r="F24" s="6">
        <v>-1</v>
      </c>
      <c r="G24" s="6" t="s">
        <v>205</v>
      </c>
    </row>
    <row r="25" s="6" customFormat="1" ht="11.5" spans="1:7">
      <c r="A25" s="6" t="s">
        <v>546</v>
      </c>
      <c r="B25" s="6" t="s">
        <v>547</v>
      </c>
      <c r="C25" s="6">
        <v>1</v>
      </c>
      <c r="D25" s="6" t="s">
        <v>386</v>
      </c>
      <c r="E25" s="6" t="s">
        <v>45</v>
      </c>
      <c r="F25" s="6">
        <v>-1</v>
      </c>
      <c r="G25" s="6" t="s">
        <v>205</v>
      </c>
    </row>
    <row r="26" spans="1:12">
      <c r="A26" s="6" t="s">
        <v>433</v>
      </c>
      <c r="B26" s="6" t="s">
        <v>547</v>
      </c>
      <c r="C26" s="6">
        <v>1</v>
      </c>
      <c r="D26" s="6" t="s">
        <v>386</v>
      </c>
      <c r="E26" s="6" t="s">
        <v>46</v>
      </c>
      <c r="F26" s="6">
        <v>-1</v>
      </c>
      <c r="G26" s="6" t="s">
        <v>205</v>
      </c>
      <c r="H26" s="6"/>
      <c r="I26" s="6"/>
      <c r="J26" s="6"/>
      <c r="K26" s="6"/>
      <c r="L26" s="6"/>
    </row>
    <row r="27" s="6" customFormat="1" ht="11.5" spans="1:7">
      <c r="A27" s="6" t="s">
        <v>435</v>
      </c>
      <c r="B27" s="6" t="s">
        <v>547</v>
      </c>
      <c r="C27" s="6">
        <v>1</v>
      </c>
      <c r="D27" s="6" t="s">
        <v>386</v>
      </c>
      <c r="E27" s="6" t="s">
        <v>38</v>
      </c>
      <c r="F27" s="6">
        <v>-1</v>
      </c>
      <c r="G27" s="6" t="s">
        <v>205</v>
      </c>
    </row>
    <row r="28" s="6" customFormat="1" ht="11.5" spans="1:7">
      <c r="A28" s="6" t="s">
        <v>548</v>
      </c>
      <c r="B28" s="6" t="s">
        <v>547</v>
      </c>
      <c r="C28" s="6">
        <v>1</v>
      </c>
      <c r="D28" s="6" t="s">
        <v>386</v>
      </c>
      <c r="E28" s="6" t="s">
        <v>46</v>
      </c>
      <c r="F28" s="6">
        <v>-1</v>
      </c>
      <c r="G28" s="6" t="s">
        <v>205</v>
      </c>
    </row>
    <row r="29" s="6" customFormat="1" ht="11.5" spans="1:7">
      <c r="A29" s="6" t="s">
        <v>549</v>
      </c>
      <c r="B29" s="6" t="s">
        <v>547</v>
      </c>
      <c r="C29" s="6">
        <v>1</v>
      </c>
      <c r="D29" s="6" t="s">
        <v>386</v>
      </c>
      <c r="E29" s="6" t="s">
        <v>46</v>
      </c>
      <c r="F29" s="6">
        <v>-1</v>
      </c>
      <c r="G29" s="6" t="s">
        <v>205</v>
      </c>
    </row>
    <row r="30" spans="1:11">
      <c r="A30" s="6" t="s">
        <v>550</v>
      </c>
      <c r="B30" s="6" t="s">
        <v>551</v>
      </c>
      <c r="C30" s="6">
        <v>1</v>
      </c>
      <c r="D30" s="6" t="s">
        <v>386</v>
      </c>
      <c r="E30" s="6" t="s">
        <v>45</v>
      </c>
      <c r="F30" s="6">
        <v>-1</v>
      </c>
      <c r="G30" s="6" t="s">
        <v>205</v>
      </c>
      <c r="H30" s="6"/>
      <c r="I30" s="6"/>
      <c r="J30" s="6"/>
      <c r="K30" s="6"/>
    </row>
    <row r="31" spans="1:11">
      <c r="A31" s="6" t="s">
        <v>552</v>
      </c>
      <c r="B31" s="6" t="s">
        <v>551</v>
      </c>
      <c r="C31" s="6">
        <v>1</v>
      </c>
      <c r="D31" s="6" t="s">
        <v>386</v>
      </c>
      <c r="E31" s="6" t="s">
        <v>45</v>
      </c>
      <c r="F31" s="6">
        <v>-1</v>
      </c>
      <c r="G31" s="6" t="s">
        <v>205</v>
      </c>
      <c r="H31" s="6"/>
      <c r="I31" s="6"/>
      <c r="J31" s="6"/>
      <c r="K31" s="6"/>
    </row>
    <row r="32" spans="1:11">
      <c r="A32" s="6" t="s">
        <v>551</v>
      </c>
      <c r="B32" s="6" t="s">
        <v>553</v>
      </c>
      <c r="C32" s="6">
        <v>1</v>
      </c>
      <c r="D32" s="6" t="s">
        <v>386</v>
      </c>
      <c r="E32" s="6" t="s">
        <v>554</v>
      </c>
      <c r="F32" s="6">
        <v>-1</v>
      </c>
      <c r="G32" s="6" t="s">
        <v>205</v>
      </c>
      <c r="H32" s="6"/>
      <c r="I32" s="6"/>
      <c r="J32" s="6"/>
      <c r="K32" s="6"/>
    </row>
    <row r="33" spans="1:11">
      <c r="A33" s="6" t="s">
        <v>555</v>
      </c>
      <c r="B33" s="6" t="s">
        <v>553</v>
      </c>
      <c r="C33" s="6">
        <v>1</v>
      </c>
      <c r="D33" s="6" t="s">
        <v>386</v>
      </c>
      <c r="E33" s="6" t="s">
        <v>45</v>
      </c>
      <c r="F33" s="6">
        <v>-1</v>
      </c>
      <c r="G33" s="6" t="s">
        <v>205</v>
      </c>
      <c r="H33" s="6"/>
      <c r="I33" s="6"/>
      <c r="J33" s="6"/>
      <c r="K33" s="6"/>
    </row>
    <row r="34" spans="1:11">
      <c r="A34" s="6" t="s">
        <v>553</v>
      </c>
      <c r="B34" s="6" t="s">
        <v>556</v>
      </c>
      <c r="C34" s="6">
        <v>1</v>
      </c>
      <c r="D34" s="6" t="s">
        <v>386</v>
      </c>
      <c r="E34" s="6" t="s">
        <v>557</v>
      </c>
      <c r="F34" s="6">
        <v>-1</v>
      </c>
      <c r="G34" s="6" t="s">
        <v>205</v>
      </c>
      <c r="H34" s="6"/>
      <c r="I34" s="6"/>
      <c r="J34" s="6"/>
      <c r="K34" s="6"/>
    </row>
    <row r="35" spans="1:11">
      <c r="A35" s="6" t="s">
        <v>558</v>
      </c>
      <c r="B35" s="6" t="s">
        <v>556</v>
      </c>
      <c r="C35" s="6">
        <v>1</v>
      </c>
      <c r="D35" s="6" t="s">
        <v>386</v>
      </c>
      <c r="E35" s="6" t="s">
        <v>45</v>
      </c>
      <c r="F35" s="6">
        <v>-1</v>
      </c>
      <c r="G35" s="6" t="s">
        <v>205</v>
      </c>
      <c r="H35" s="6"/>
      <c r="I35" s="6"/>
      <c r="J35" s="6"/>
      <c r="K35" s="6"/>
    </row>
    <row r="36" spans="1:11">
      <c r="A36" s="6" t="s">
        <v>559</v>
      </c>
      <c r="B36" s="6" t="s">
        <v>556</v>
      </c>
      <c r="C36" s="6">
        <v>1</v>
      </c>
      <c r="D36" s="6" t="s">
        <v>386</v>
      </c>
      <c r="E36" s="6" t="s">
        <v>45</v>
      </c>
      <c r="F36" s="6">
        <v>-1</v>
      </c>
      <c r="G36" s="6" t="s">
        <v>205</v>
      </c>
      <c r="H36" s="6"/>
      <c r="I36" s="6"/>
      <c r="J36" s="6"/>
      <c r="K36" s="6"/>
    </row>
    <row r="37" spans="1:11">
      <c r="A37" s="6" t="s">
        <v>560</v>
      </c>
      <c r="B37" s="6" t="s">
        <v>556</v>
      </c>
      <c r="C37" s="6">
        <v>1</v>
      </c>
      <c r="D37" s="6" t="s">
        <v>386</v>
      </c>
      <c r="E37" s="6" t="s">
        <v>45</v>
      </c>
      <c r="F37" s="6">
        <v>-1</v>
      </c>
      <c r="G37" s="6" t="s">
        <v>205</v>
      </c>
      <c r="H37" s="6"/>
      <c r="I37" s="6"/>
      <c r="J37" s="6"/>
      <c r="K37" s="6"/>
    </row>
    <row r="38" spans="1:11">
      <c r="A38" s="6" t="s">
        <v>561</v>
      </c>
      <c r="B38" s="6" t="s">
        <v>562</v>
      </c>
      <c r="C38" s="6">
        <v>1</v>
      </c>
      <c r="D38" s="6" t="s">
        <v>386</v>
      </c>
      <c r="E38" s="6" t="s">
        <v>46</v>
      </c>
      <c r="F38" s="6">
        <v>-1</v>
      </c>
      <c r="G38" s="6" t="s">
        <v>205</v>
      </c>
      <c r="H38" s="6"/>
      <c r="I38" s="6"/>
      <c r="J38" s="6"/>
      <c r="K38" s="6"/>
    </row>
    <row r="39" spans="1:11">
      <c r="A39" s="6" t="s">
        <v>563</v>
      </c>
      <c r="B39" s="6" t="s">
        <v>564</v>
      </c>
      <c r="C39" s="6">
        <v>1</v>
      </c>
      <c r="D39" s="6" t="s">
        <v>386</v>
      </c>
      <c r="E39" s="6" t="s">
        <v>45</v>
      </c>
      <c r="F39" s="6">
        <v>-1</v>
      </c>
      <c r="G39" s="6" t="s">
        <v>205</v>
      </c>
      <c r="H39" s="6"/>
      <c r="I39" s="6"/>
      <c r="J39" s="6"/>
      <c r="K39" s="6"/>
    </row>
    <row r="40" spans="1:11">
      <c r="A40" s="6" t="s">
        <v>565</v>
      </c>
      <c r="B40" s="6" t="s">
        <v>564</v>
      </c>
      <c r="C40" s="6">
        <v>1</v>
      </c>
      <c r="D40" s="6" t="s">
        <v>386</v>
      </c>
      <c r="E40" s="6" t="s">
        <v>45</v>
      </c>
      <c r="F40" s="6">
        <v>-1</v>
      </c>
      <c r="G40" s="6" t="s">
        <v>205</v>
      </c>
      <c r="H40" s="6"/>
      <c r="I40" s="6"/>
      <c r="J40" s="6"/>
      <c r="K40" s="6"/>
    </row>
    <row r="41" spans="1:11">
      <c r="A41" s="6" t="s">
        <v>566</v>
      </c>
      <c r="B41" s="6" t="s">
        <v>564</v>
      </c>
      <c r="C41" s="6">
        <v>1</v>
      </c>
      <c r="D41" s="6" t="s">
        <v>386</v>
      </c>
      <c r="E41" s="6" t="s">
        <v>45</v>
      </c>
      <c r="F41" s="6">
        <v>-1</v>
      </c>
      <c r="G41" s="6" t="s">
        <v>205</v>
      </c>
      <c r="H41" s="6"/>
      <c r="I41" s="6"/>
      <c r="J41" s="6"/>
      <c r="K41" s="6"/>
    </row>
    <row r="42" spans="1:11">
      <c r="A42" s="6" t="s">
        <v>567</v>
      </c>
      <c r="B42" s="6" t="s">
        <v>564</v>
      </c>
      <c r="C42" s="6">
        <v>1</v>
      </c>
      <c r="D42" s="6" t="s">
        <v>386</v>
      </c>
      <c r="E42" s="6" t="s">
        <v>45</v>
      </c>
      <c r="F42" s="6">
        <v>-1</v>
      </c>
      <c r="G42" s="6" t="s">
        <v>205</v>
      </c>
      <c r="H42" s="6"/>
      <c r="I42" s="6"/>
      <c r="J42" s="6"/>
      <c r="K42" s="6"/>
    </row>
    <row r="43" spans="1:11">
      <c r="A43" s="6" t="s">
        <v>568</v>
      </c>
      <c r="B43" s="6" t="s">
        <v>564</v>
      </c>
      <c r="C43" s="6">
        <v>1</v>
      </c>
      <c r="D43" s="6" t="s">
        <v>386</v>
      </c>
      <c r="E43" s="6" t="s">
        <v>45</v>
      </c>
      <c r="F43" s="6">
        <v>-1</v>
      </c>
      <c r="G43" s="6" t="s">
        <v>205</v>
      </c>
      <c r="H43" s="6"/>
      <c r="I43" s="6"/>
      <c r="J43" s="6"/>
      <c r="K43" s="6"/>
    </row>
    <row r="44" spans="1:11">
      <c r="A44" s="6" t="s">
        <v>569</v>
      </c>
      <c r="B44" s="6" t="s">
        <v>564</v>
      </c>
      <c r="C44" s="6">
        <v>1</v>
      </c>
      <c r="D44" s="6" t="s">
        <v>386</v>
      </c>
      <c r="E44" s="6" t="s">
        <v>45</v>
      </c>
      <c r="F44" s="6">
        <v>-1</v>
      </c>
      <c r="G44" s="6" t="s">
        <v>205</v>
      </c>
      <c r="H44" s="6"/>
      <c r="I44" s="6"/>
      <c r="J44" s="6"/>
      <c r="K44" s="6"/>
    </row>
    <row r="45" spans="1:11">
      <c r="A45" s="6" t="s">
        <v>570</v>
      </c>
      <c r="B45" s="6" t="s">
        <v>571</v>
      </c>
      <c r="C45" s="6">
        <v>1</v>
      </c>
      <c r="D45" s="6" t="s">
        <v>386</v>
      </c>
      <c r="E45" s="6" t="s">
        <v>45</v>
      </c>
      <c r="F45" s="6">
        <v>-1</v>
      </c>
      <c r="G45" s="6" t="s">
        <v>205</v>
      </c>
      <c r="H45" s="6"/>
      <c r="I45" s="6"/>
      <c r="J45" s="6"/>
      <c r="K45" s="6"/>
    </row>
    <row r="46" spans="1:11">
      <c r="A46" s="6" t="s">
        <v>572</v>
      </c>
      <c r="B46" s="6" t="s">
        <v>571</v>
      </c>
      <c r="C46" s="6">
        <v>1</v>
      </c>
      <c r="D46" s="6" t="s">
        <v>386</v>
      </c>
      <c r="E46" s="6" t="s">
        <v>45</v>
      </c>
      <c r="F46" s="6">
        <v>-1</v>
      </c>
      <c r="G46" s="6" t="s">
        <v>205</v>
      </c>
      <c r="H46" s="6"/>
      <c r="I46" s="6"/>
      <c r="J46" s="6"/>
      <c r="K46" s="6"/>
    </row>
    <row r="47" spans="1:11">
      <c r="A47" s="6" t="s">
        <v>573</v>
      </c>
      <c r="B47" s="6" t="s">
        <v>571</v>
      </c>
      <c r="C47" s="6">
        <v>1</v>
      </c>
      <c r="D47" s="6" t="s">
        <v>386</v>
      </c>
      <c r="E47" s="6" t="s">
        <v>45</v>
      </c>
      <c r="F47" s="6">
        <v>-1</v>
      </c>
      <c r="G47" s="6" t="s">
        <v>205</v>
      </c>
      <c r="H47" s="6"/>
      <c r="I47" s="6"/>
      <c r="J47" s="6"/>
      <c r="K47" s="6"/>
    </row>
    <row r="48" spans="1:11">
      <c r="A48" s="6" t="s">
        <v>574</v>
      </c>
      <c r="B48" s="6" t="s">
        <v>571</v>
      </c>
      <c r="C48" s="6">
        <v>1</v>
      </c>
      <c r="D48" s="6" t="s">
        <v>386</v>
      </c>
      <c r="E48" s="6" t="s">
        <v>45</v>
      </c>
      <c r="F48" s="6">
        <v>-1</v>
      </c>
      <c r="G48" s="6" t="s">
        <v>205</v>
      </c>
      <c r="H48" s="6"/>
      <c r="I48" s="6"/>
      <c r="J48" s="6"/>
      <c r="K48" s="6"/>
    </row>
    <row r="49" spans="1:11">
      <c r="A49" s="6" t="s">
        <v>575</v>
      </c>
      <c r="B49" s="6" t="s">
        <v>571</v>
      </c>
      <c r="C49" s="6">
        <v>1</v>
      </c>
      <c r="D49" s="6" t="s">
        <v>386</v>
      </c>
      <c r="E49" s="6" t="s">
        <v>45</v>
      </c>
      <c r="F49" s="6">
        <v>-1</v>
      </c>
      <c r="G49" s="6" t="s">
        <v>205</v>
      </c>
      <c r="H49" s="6"/>
      <c r="I49" s="6"/>
      <c r="J49" s="6"/>
      <c r="K49" s="6"/>
    </row>
    <row r="50" spans="1:11">
      <c r="A50" s="6" t="s">
        <v>576</v>
      </c>
      <c r="B50" s="6" t="s">
        <v>571</v>
      </c>
      <c r="C50" s="6">
        <v>1</v>
      </c>
      <c r="D50" s="6" t="s">
        <v>386</v>
      </c>
      <c r="E50" s="6" t="s">
        <v>45</v>
      </c>
      <c r="F50" s="6">
        <v>-1</v>
      </c>
      <c r="G50" s="6" t="s">
        <v>205</v>
      </c>
      <c r="H50" s="6"/>
      <c r="I50" s="6"/>
      <c r="J50" s="6"/>
      <c r="K50" s="6"/>
    </row>
    <row r="51" spans="1:11">
      <c r="A51" s="6" t="s">
        <v>577</v>
      </c>
      <c r="B51" s="6" t="s">
        <v>571</v>
      </c>
      <c r="C51" s="6">
        <v>1</v>
      </c>
      <c r="D51" s="6" t="s">
        <v>386</v>
      </c>
      <c r="E51" s="6" t="s">
        <v>45</v>
      </c>
      <c r="F51" s="6">
        <v>-1</v>
      </c>
      <c r="G51" s="6" t="s">
        <v>205</v>
      </c>
      <c r="H51" s="6"/>
      <c r="I51" s="6"/>
      <c r="J51" s="6"/>
      <c r="K51" s="6"/>
    </row>
    <row r="52" spans="1:11">
      <c r="A52" s="6" t="s">
        <v>578</v>
      </c>
      <c r="B52" s="6" t="s">
        <v>579</v>
      </c>
      <c r="C52" s="6">
        <v>1</v>
      </c>
      <c r="D52" s="6" t="s">
        <v>386</v>
      </c>
      <c r="E52" s="6" t="s">
        <v>45</v>
      </c>
      <c r="F52" s="6">
        <v>-1</v>
      </c>
      <c r="G52" s="6" t="s">
        <v>205</v>
      </c>
      <c r="H52" s="6"/>
      <c r="I52" s="6"/>
      <c r="J52" s="6"/>
      <c r="K52" s="6"/>
    </row>
    <row r="53" spans="1:11">
      <c r="A53" s="6" t="s">
        <v>580</v>
      </c>
      <c r="B53" s="6" t="s">
        <v>579</v>
      </c>
      <c r="C53" s="6">
        <v>1</v>
      </c>
      <c r="D53" s="6" t="s">
        <v>386</v>
      </c>
      <c r="E53" s="6" t="s">
        <v>45</v>
      </c>
      <c r="F53" s="6">
        <v>-1</v>
      </c>
      <c r="G53" s="6" t="s">
        <v>205</v>
      </c>
      <c r="H53" s="6"/>
      <c r="I53" s="6"/>
      <c r="J53" s="6"/>
      <c r="K53" s="6"/>
    </row>
    <row r="54" spans="1:11">
      <c r="A54" s="6" t="s">
        <v>581</v>
      </c>
      <c r="B54" s="6" t="s">
        <v>579</v>
      </c>
      <c r="C54" s="6">
        <v>1</v>
      </c>
      <c r="D54" s="6" t="s">
        <v>386</v>
      </c>
      <c r="E54" s="6" t="s">
        <v>45</v>
      </c>
      <c r="F54" s="6">
        <v>-1</v>
      </c>
      <c r="G54" s="6" t="s">
        <v>205</v>
      </c>
      <c r="H54" s="6"/>
      <c r="I54" s="6"/>
      <c r="J54" s="6"/>
      <c r="K54" s="6"/>
    </row>
    <row r="55" spans="1:11">
      <c r="A55" s="6" t="s">
        <v>582</v>
      </c>
      <c r="B55" s="6" t="s">
        <v>579</v>
      </c>
      <c r="C55" s="6">
        <v>1</v>
      </c>
      <c r="D55" s="6" t="s">
        <v>386</v>
      </c>
      <c r="E55" s="6" t="s">
        <v>45</v>
      </c>
      <c r="F55" s="6">
        <v>-1</v>
      </c>
      <c r="G55" s="6" t="s">
        <v>205</v>
      </c>
      <c r="H55" s="6"/>
      <c r="I55" s="6"/>
      <c r="J55" s="6"/>
      <c r="K55" s="6"/>
    </row>
    <row r="56" spans="1:11">
      <c r="A56" s="6" t="s">
        <v>583</v>
      </c>
      <c r="B56" s="6" t="s">
        <v>579</v>
      </c>
      <c r="C56" s="6">
        <v>1</v>
      </c>
      <c r="D56" s="6" t="s">
        <v>386</v>
      </c>
      <c r="E56" s="6" t="s">
        <v>45</v>
      </c>
      <c r="F56" s="6">
        <v>-1</v>
      </c>
      <c r="G56" s="6" t="s">
        <v>205</v>
      </c>
      <c r="H56" s="6"/>
      <c r="I56" s="6"/>
      <c r="J56" s="6"/>
      <c r="K56" s="6"/>
    </row>
    <row r="57" spans="1:11">
      <c r="A57" s="6" t="s">
        <v>584</v>
      </c>
      <c r="B57" s="6" t="s">
        <v>585</v>
      </c>
      <c r="C57" s="6">
        <v>1</v>
      </c>
      <c r="D57" s="6" t="s">
        <v>386</v>
      </c>
      <c r="E57" s="6" t="s">
        <v>45</v>
      </c>
      <c r="F57" s="6">
        <v>-1</v>
      </c>
      <c r="G57" s="6" t="s">
        <v>205</v>
      </c>
      <c r="H57" s="6"/>
      <c r="I57" s="6"/>
      <c r="J57" s="6"/>
      <c r="K57" s="6"/>
    </row>
    <row r="58" spans="1:11">
      <c r="A58" s="6" t="s">
        <v>586</v>
      </c>
      <c r="B58" s="6" t="s">
        <v>585</v>
      </c>
      <c r="C58" s="6">
        <v>1</v>
      </c>
      <c r="D58" s="6" t="s">
        <v>386</v>
      </c>
      <c r="E58" s="6" t="s">
        <v>45</v>
      </c>
      <c r="F58" s="6">
        <v>-1</v>
      </c>
      <c r="G58" s="6" t="s">
        <v>205</v>
      </c>
      <c r="H58" s="6"/>
      <c r="I58" s="6"/>
      <c r="J58" s="6"/>
      <c r="K58" s="6"/>
    </row>
    <row r="59" spans="1:11">
      <c r="A59" s="6" t="s">
        <v>587</v>
      </c>
      <c r="B59" s="6" t="s">
        <v>585</v>
      </c>
      <c r="C59" s="6">
        <v>1</v>
      </c>
      <c r="D59" s="6" t="s">
        <v>386</v>
      </c>
      <c r="E59" s="6" t="s">
        <v>45</v>
      </c>
      <c r="F59" s="6">
        <v>-1</v>
      </c>
      <c r="G59" s="6" t="s">
        <v>205</v>
      </c>
      <c r="H59" s="6"/>
      <c r="I59" s="6"/>
      <c r="J59" s="6"/>
      <c r="K59" s="6"/>
    </row>
    <row r="60" spans="1:11">
      <c r="A60" s="6" t="s">
        <v>588</v>
      </c>
      <c r="B60" s="6" t="s">
        <v>585</v>
      </c>
      <c r="C60" s="6">
        <v>1</v>
      </c>
      <c r="D60" s="6" t="s">
        <v>386</v>
      </c>
      <c r="E60" s="6" t="s">
        <v>45</v>
      </c>
      <c r="F60" s="6">
        <v>-1</v>
      </c>
      <c r="G60" s="6" t="s">
        <v>205</v>
      </c>
      <c r="H60" s="6"/>
      <c r="I60" s="6"/>
      <c r="J60" s="6"/>
      <c r="K60" s="6"/>
    </row>
    <row r="61" spans="1:11">
      <c r="A61" s="6" t="s">
        <v>589</v>
      </c>
      <c r="B61" s="6" t="s">
        <v>585</v>
      </c>
      <c r="C61" s="6">
        <v>1</v>
      </c>
      <c r="D61" s="6" t="s">
        <v>386</v>
      </c>
      <c r="E61" s="6" t="s">
        <v>45</v>
      </c>
      <c r="F61" s="6">
        <v>-1</v>
      </c>
      <c r="G61" s="6" t="s">
        <v>205</v>
      </c>
      <c r="H61" s="6"/>
      <c r="I61" s="6"/>
      <c r="J61" s="6"/>
      <c r="K61" s="6"/>
    </row>
    <row r="62" spans="1:11">
      <c r="A62" s="6" t="s">
        <v>590</v>
      </c>
      <c r="B62" s="6" t="s">
        <v>585</v>
      </c>
      <c r="C62" s="6">
        <v>1</v>
      </c>
      <c r="D62" s="6" t="s">
        <v>386</v>
      </c>
      <c r="E62" s="6" t="s">
        <v>45</v>
      </c>
      <c r="F62" s="6">
        <v>-1</v>
      </c>
      <c r="G62" s="6" t="s">
        <v>205</v>
      </c>
      <c r="H62" s="6"/>
      <c r="I62" s="6"/>
      <c r="J62" s="6"/>
      <c r="K62" s="6"/>
    </row>
    <row r="63" spans="1:11">
      <c r="A63" s="6" t="s">
        <v>591</v>
      </c>
      <c r="B63" s="6" t="s">
        <v>585</v>
      </c>
      <c r="C63" s="6">
        <v>1</v>
      </c>
      <c r="D63" s="6" t="s">
        <v>386</v>
      </c>
      <c r="E63" s="6" t="s">
        <v>45</v>
      </c>
      <c r="F63" s="6">
        <v>-1</v>
      </c>
      <c r="G63" s="6" t="s">
        <v>205</v>
      </c>
      <c r="H63" s="6"/>
      <c r="I63" s="6"/>
      <c r="J63" s="6"/>
      <c r="K63" s="6"/>
    </row>
    <row r="64" spans="1:11">
      <c r="A64" s="6" t="s">
        <v>592</v>
      </c>
      <c r="B64" s="6" t="s">
        <v>593</v>
      </c>
      <c r="C64" s="6">
        <v>1</v>
      </c>
      <c r="D64" s="6" t="s">
        <v>386</v>
      </c>
      <c r="E64" s="6" t="s">
        <v>218</v>
      </c>
      <c r="F64" s="6">
        <v>-1</v>
      </c>
      <c r="G64" s="6" t="s">
        <v>205</v>
      </c>
      <c r="H64" s="6"/>
      <c r="I64" s="6"/>
      <c r="J64" s="6"/>
      <c r="K64" s="6"/>
    </row>
    <row r="65" spans="1:11">
      <c r="A65" s="6" t="s">
        <v>571</v>
      </c>
      <c r="B65" s="6" t="s">
        <v>593</v>
      </c>
      <c r="C65" s="6">
        <v>1</v>
      </c>
      <c r="D65" s="6" t="s">
        <v>386</v>
      </c>
      <c r="E65" s="6" t="s">
        <v>594</v>
      </c>
      <c r="F65" s="6">
        <v>-1</v>
      </c>
      <c r="G65" s="6" t="s">
        <v>205</v>
      </c>
      <c r="H65" s="6"/>
      <c r="I65" s="6"/>
      <c r="J65" s="6"/>
      <c r="K65" s="6"/>
    </row>
    <row r="66" spans="1:11">
      <c r="A66" s="6" t="s">
        <v>579</v>
      </c>
      <c r="B66" s="6" t="s">
        <v>593</v>
      </c>
      <c r="C66" s="6">
        <v>1</v>
      </c>
      <c r="D66" s="6" t="s">
        <v>386</v>
      </c>
      <c r="E66" s="6" t="s">
        <v>595</v>
      </c>
      <c r="F66" s="6">
        <v>-1</v>
      </c>
      <c r="G66" s="6" t="s">
        <v>205</v>
      </c>
      <c r="H66" s="6"/>
      <c r="I66" s="6"/>
      <c r="J66" s="6"/>
      <c r="K66" s="6"/>
    </row>
    <row r="67" spans="1:11">
      <c r="A67" s="6" t="s">
        <v>585</v>
      </c>
      <c r="B67" s="6" t="s">
        <v>593</v>
      </c>
      <c r="C67" s="6">
        <v>1</v>
      </c>
      <c r="D67" s="6" t="s">
        <v>386</v>
      </c>
      <c r="E67" s="6" t="s">
        <v>596</v>
      </c>
      <c r="F67" s="6">
        <v>-1</v>
      </c>
      <c r="G67" s="6" t="s">
        <v>205</v>
      </c>
      <c r="H67" s="6"/>
      <c r="I67" s="6"/>
      <c r="J67" s="6"/>
      <c r="K67" s="6"/>
    </row>
    <row r="68" spans="1:11">
      <c r="A68" s="6" t="s">
        <v>597</v>
      </c>
      <c r="B68" s="6" t="s">
        <v>593</v>
      </c>
      <c r="C68" s="6">
        <v>1</v>
      </c>
      <c r="D68" s="6" t="s">
        <v>386</v>
      </c>
      <c r="E68" s="6" t="s">
        <v>598</v>
      </c>
      <c r="F68" s="6">
        <v>-1</v>
      </c>
      <c r="G68" s="6" t="s">
        <v>205</v>
      </c>
      <c r="H68" s="6"/>
      <c r="I68" s="6"/>
      <c r="J68" s="6"/>
      <c r="K68" s="6"/>
    </row>
    <row r="69" spans="1:11">
      <c r="A69" s="6" t="s">
        <v>556</v>
      </c>
      <c r="B69" s="6" t="s">
        <v>599</v>
      </c>
      <c r="C69" s="6">
        <v>1</v>
      </c>
      <c r="D69" s="6" t="s">
        <v>386</v>
      </c>
      <c r="E69" s="6" t="s">
        <v>600</v>
      </c>
      <c r="F69" s="6">
        <v>-1</v>
      </c>
      <c r="G69" s="6" t="s">
        <v>205</v>
      </c>
      <c r="H69" s="6"/>
      <c r="I69" s="6"/>
      <c r="J69" s="6"/>
      <c r="K69" s="6"/>
    </row>
    <row r="70" spans="1:11">
      <c r="A70" s="6" t="s">
        <v>562</v>
      </c>
      <c r="B70" s="6" t="s">
        <v>599</v>
      </c>
      <c r="C70" s="6">
        <v>1</v>
      </c>
      <c r="D70" s="6" t="s">
        <v>386</v>
      </c>
      <c r="E70" s="6" t="s">
        <v>46</v>
      </c>
      <c r="F70" s="6">
        <v>-1</v>
      </c>
      <c r="G70" s="6" t="s">
        <v>205</v>
      </c>
      <c r="H70" s="6"/>
      <c r="I70" s="6"/>
      <c r="J70" s="6"/>
      <c r="K70" s="6"/>
    </row>
    <row r="71" spans="1:11">
      <c r="A71" s="6" t="s">
        <v>593</v>
      </c>
      <c r="B71" s="6" t="s">
        <v>599</v>
      </c>
      <c r="C71" s="6">
        <v>1</v>
      </c>
      <c r="D71" s="6" t="s">
        <v>386</v>
      </c>
      <c r="E71" s="6" t="s">
        <v>601</v>
      </c>
      <c r="F71" s="6">
        <v>-1</v>
      </c>
      <c r="G71" s="6" t="s">
        <v>205</v>
      </c>
      <c r="H71" s="6"/>
      <c r="I71" s="6"/>
      <c r="J71" s="6"/>
      <c r="K71" s="6"/>
    </row>
    <row r="72" spans="1:11">
      <c r="A72" s="6" t="s">
        <v>602</v>
      </c>
      <c r="B72" s="6" t="s">
        <v>603</v>
      </c>
      <c r="C72" s="6">
        <v>1</v>
      </c>
      <c r="D72" s="6" t="s">
        <v>386</v>
      </c>
      <c r="E72" s="6" t="s">
        <v>46</v>
      </c>
      <c r="F72" s="6">
        <v>-1</v>
      </c>
      <c r="G72" s="6" t="s">
        <v>205</v>
      </c>
      <c r="H72" s="6"/>
      <c r="I72" s="6"/>
      <c r="J72" s="6"/>
      <c r="K72" s="6"/>
    </row>
    <row r="73" spans="1:11">
      <c r="A73" s="6" t="s">
        <v>604</v>
      </c>
      <c r="B73" s="6" t="s">
        <v>603</v>
      </c>
      <c r="C73" s="6">
        <v>1</v>
      </c>
      <c r="D73" s="6" t="s">
        <v>386</v>
      </c>
      <c r="E73" s="6" t="s">
        <v>46</v>
      </c>
      <c r="F73" s="6">
        <v>-1</v>
      </c>
      <c r="G73" s="6" t="s">
        <v>205</v>
      </c>
      <c r="H73" s="6"/>
      <c r="I73" s="6"/>
      <c r="J73" s="6"/>
      <c r="K73" s="6"/>
    </row>
    <row r="74" spans="1:11">
      <c r="A74" s="6" t="s">
        <v>605</v>
      </c>
      <c r="B74" s="6" t="s">
        <v>603</v>
      </c>
      <c r="C74" s="6">
        <v>1</v>
      </c>
      <c r="D74" s="6" t="s">
        <v>386</v>
      </c>
      <c r="E74" s="6" t="s">
        <v>46</v>
      </c>
      <c r="F74" s="6">
        <v>-1</v>
      </c>
      <c r="G74" s="6" t="s">
        <v>205</v>
      </c>
      <c r="H74" s="6"/>
      <c r="I74" s="6"/>
      <c r="J74" s="6"/>
      <c r="K74" s="6"/>
    </row>
    <row r="75" spans="1:11">
      <c r="A75" s="6" t="s">
        <v>606</v>
      </c>
      <c r="B75" s="6" t="s">
        <v>603</v>
      </c>
      <c r="C75" s="6">
        <v>1</v>
      </c>
      <c r="D75" s="6" t="s">
        <v>386</v>
      </c>
      <c r="E75" s="6" t="s">
        <v>46</v>
      </c>
      <c r="F75" s="6">
        <v>-1</v>
      </c>
      <c r="G75" s="6" t="s">
        <v>205</v>
      </c>
      <c r="H75" s="6"/>
      <c r="I75" s="6"/>
      <c r="J75" s="6"/>
      <c r="K75" s="6"/>
    </row>
    <row r="76" spans="1:11">
      <c r="A76" s="6" t="s">
        <v>607</v>
      </c>
      <c r="B76" s="6" t="s">
        <v>603</v>
      </c>
      <c r="C76" s="6">
        <v>1</v>
      </c>
      <c r="D76" s="6" t="s">
        <v>386</v>
      </c>
      <c r="E76" s="6" t="s">
        <v>46</v>
      </c>
      <c r="F76" s="6">
        <v>-1</v>
      </c>
      <c r="G76" s="6" t="s">
        <v>205</v>
      </c>
      <c r="H76" s="6"/>
      <c r="I76" s="6"/>
      <c r="J76" s="6"/>
      <c r="K76" s="6"/>
    </row>
    <row r="77" spans="1:11">
      <c r="A77" s="6" t="s">
        <v>608</v>
      </c>
      <c r="B77" s="6" t="s">
        <v>609</v>
      </c>
      <c r="C77" s="6">
        <v>1</v>
      </c>
      <c r="D77" s="6" t="s">
        <v>386</v>
      </c>
      <c r="E77" s="6" t="s">
        <v>41</v>
      </c>
      <c r="F77" s="6">
        <v>-1</v>
      </c>
      <c r="G77" s="6" t="s">
        <v>205</v>
      </c>
      <c r="H77" s="6"/>
      <c r="I77" s="6"/>
      <c r="J77" s="6"/>
      <c r="K77" s="6"/>
    </row>
    <row r="78" spans="1:11">
      <c r="A78" s="6" t="s">
        <v>610</v>
      </c>
      <c r="B78" s="6" t="s">
        <v>609</v>
      </c>
      <c r="C78" s="6">
        <v>1</v>
      </c>
      <c r="D78" s="6" t="s">
        <v>386</v>
      </c>
      <c r="E78" s="6" t="s">
        <v>41</v>
      </c>
      <c r="F78" s="6">
        <v>-1</v>
      </c>
      <c r="G78" s="6" t="s">
        <v>205</v>
      </c>
      <c r="H78" s="6"/>
      <c r="I78" s="6"/>
      <c r="J78" s="6"/>
      <c r="K78" s="6"/>
    </row>
    <row r="79" spans="1:11">
      <c r="A79" s="6" t="s">
        <v>611</v>
      </c>
      <c r="B79" s="6" t="s">
        <v>609</v>
      </c>
      <c r="C79" s="6">
        <v>1</v>
      </c>
      <c r="D79" s="6" t="s">
        <v>386</v>
      </c>
      <c r="E79" s="6" t="s">
        <v>41</v>
      </c>
      <c r="F79" s="6">
        <v>-1</v>
      </c>
      <c r="G79" s="6" t="s">
        <v>205</v>
      </c>
      <c r="H79" s="6"/>
      <c r="I79" s="6"/>
      <c r="J79" s="6"/>
      <c r="K79" s="6"/>
    </row>
    <row r="80" spans="1:11">
      <c r="A80" s="6" t="s">
        <v>612</v>
      </c>
      <c r="B80" s="6" t="s">
        <v>609</v>
      </c>
      <c r="C80" s="6">
        <v>1</v>
      </c>
      <c r="D80" s="6" t="s">
        <v>386</v>
      </c>
      <c r="E80" s="6" t="s">
        <v>41</v>
      </c>
      <c r="F80" s="6">
        <v>-1</v>
      </c>
      <c r="G80" s="6" t="s">
        <v>205</v>
      </c>
      <c r="H80" s="6"/>
      <c r="I80" s="6"/>
      <c r="J80" s="6"/>
      <c r="K80" s="6"/>
    </row>
    <row r="81" spans="1:11">
      <c r="A81" s="6" t="s">
        <v>613</v>
      </c>
      <c r="B81" s="6" t="s">
        <v>609</v>
      </c>
      <c r="C81" s="6">
        <v>1</v>
      </c>
      <c r="D81" s="6" t="s">
        <v>386</v>
      </c>
      <c r="E81" s="6" t="s">
        <v>41</v>
      </c>
      <c r="F81" s="6">
        <v>-1</v>
      </c>
      <c r="G81" s="6" t="s">
        <v>205</v>
      </c>
      <c r="H81" s="6"/>
      <c r="I81" s="6"/>
      <c r="J81" s="6"/>
      <c r="K81" s="6"/>
    </row>
    <row r="82" spans="1:11">
      <c r="A82" s="6" t="s">
        <v>614</v>
      </c>
      <c r="B82" s="6" t="s">
        <v>609</v>
      </c>
      <c r="C82" s="6">
        <v>1</v>
      </c>
      <c r="D82" s="6" t="s">
        <v>386</v>
      </c>
      <c r="E82" s="6" t="s">
        <v>41</v>
      </c>
      <c r="F82" s="6">
        <v>-1</v>
      </c>
      <c r="G82" s="6" t="s">
        <v>205</v>
      </c>
      <c r="H82" s="6"/>
      <c r="I82" s="6"/>
      <c r="J82" s="6"/>
      <c r="K82" s="6"/>
    </row>
    <row r="83" spans="1:11">
      <c r="A83" s="6" t="s">
        <v>615</v>
      </c>
      <c r="B83" s="6" t="s">
        <v>609</v>
      </c>
      <c r="C83" s="6">
        <v>1</v>
      </c>
      <c r="D83" s="6" t="s">
        <v>386</v>
      </c>
      <c r="E83" s="6" t="s">
        <v>45</v>
      </c>
      <c r="F83" s="6">
        <v>-1</v>
      </c>
      <c r="G83" s="6" t="s">
        <v>205</v>
      </c>
      <c r="H83" s="6"/>
      <c r="I83" s="6"/>
      <c r="J83" s="6"/>
      <c r="K83" s="6"/>
    </row>
    <row r="84" spans="1:11">
      <c r="A84" s="6" t="s">
        <v>616</v>
      </c>
      <c r="B84" s="6" t="s">
        <v>609</v>
      </c>
      <c r="C84" s="6">
        <v>1</v>
      </c>
      <c r="D84" s="6" t="s">
        <v>386</v>
      </c>
      <c r="E84" s="6" t="s">
        <v>45</v>
      </c>
      <c r="F84" s="6">
        <v>-1</v>
      </c>
      <c r="G84" s="6" t="s">
        <v>205</v>
      </c>
      <c r="H84" s="6"/>
      <c r="I84" s="6"/>
      <c r="J84" s="6"/>
      <c r="K84" s="6"/>
    </row>
    <row r="85" spans="1:11">
      <c r="A85" s="6" t="s">
        <v>617</v>
      </c>
      <c r="B85" s="6" t="s">
        <v>609</v>
      </c>
      <c r="C85" s="6">
        <v>1</v>
      </c>
      <c r="D85" s="6" t="s">
        <v>386</v>
      </c>
      <c r="E85" s="6" t="s">
        <v>45</v>
      </c>
      <c r="F85" s="6">
        <v>-1</v>
      </c>
      <c r="G85" s="6" t="s">
        <v>205</v>
      </c>
      <c r="H85" s="6"/>
      <c r="I85" s="6"/>
      <c r="J85" s="6"/>
      <c r="K85" s="6"/>
    </row>
    <row r="86" spans="1:11">
      <c r="A86" s="6" t="s">
        <v>618</v>
      </c>
      <c r="B86" s="6" t="s">
        <v>609</v>
      </c>
      <c r="C86" s="6">
        <v>1</v>
      </c>
      <c r="D86" s="6" t="s">
        <v>386</v>
      </c>
      <c r="E86" s="6" t="s">
        <v>45</v>
      </c>
      <c r="F86" s="6">
        <v>-1</v>
      </c>
      <c r="G86" s="6" t="s">
        <v>205</v>
      </c>
      <c r="H86" s="6"/>
      <c r="I86" s="6"/>
      <c r="J86" s="6"/>
      <c r="K86" s="6"/>
    </row>
    <row r="87" spans="1:11">
      <c r="A87" s="6" t="s">
        <v>619</v>
      </c>
      <c r="B87" s="6" t="s">
        <v>609</v>
      </c>
      <c r="C87" s="6">
        <v>1</v>
      </c>
      <c r="D87" s="6" t="s">
        <v>386</v>
      </c>
      <c r="E87" s="6" t="s">
        <v>45</v>
      </c>
      <c r="F87" s="6">
        <v>-1</v>
      </c>
      <c r="G87" s="6" t="s">
        <v>205</v>
      </c>
      <c r="H87" s="6"/>
      <c r="I87" s="6"/>
      <c r="J87" s="6"/>
      <c r="K87" s="6"/>
    </row>
    <row r="88" spans="1:11">
      <c r="A88" s="6" t="s">
        <v>620</v>
      </c>
      <c r="B88" s="6" t="s">
        <v>609</v>
      </c>
      <c r="C88" s="6">
        <v>1</v>
      </c>
      <c r="D88" s="6" t="s">
        <v>386</v>
      </c>
      <c r="E88" s="6" t="s">
        <v>45</v>
      </c>
      <c r="F88" s="6">
        <v>-1</v>
      </c>
      <c r="G88" s="6" t="s">
        <v>205</v>
      </c>
      <c r="H88" s="6"/>
      <c r="I88" s="6"/>
      <c r="J88" s="6"/>
      <c r="K88" s="6"/>
    </row>
    <row r="89" spans="1:11">
      <c r="A89" s="6" t="s">
        <v>621</v>
      </c>
      <c r="B89" s="6" t="s">
        <v>609</v>
      </c>
      <c r="C89" s="6">
        <v>1</v>
      </c>
      <c r="D89" s="6" t="s">
        <v>386</v>
      </c>
      <c r="E89" s="6" t="s">
        <v>41</v>
      </c>
      <c r="F89" s="6">
        <v>-1</v>
      </c>
      <c r="G89" s="6" t="s">
        <v>205</v>
      </c>
      <c r="H89" s="6"/>
      <c r="I89" s="6"/>
      <c r="J89" s="6"/>
      <c r="K89" s="6"/>
    </row>
    <row r="90" spans="1:11">
      <c r="A90" s="6" t="s">
        <v>622</v>
      </c>
      <c r="B90" s="6" t="s">
        <v>609</v>
      </c>
      <c r="C90" s="6">
        <v>1</v>
      </c>
      <c r="D90" s="6" t="s">
        <v>386</v>
      </c>
      <c r="E90" s="6" t="s">
        <v>41</v>
      </c>
      <c r="F90" s="6">
        <v>-1</v>
      </c>
      <c r="G90" s="6" t="s">
        <v>205</v>
      </c>
      <c r="H90" s="6"/>
      <c r="I90" s="6"/>
      <c r="J90" s="6"/>
      <c r="K90" s="6"/>
    </row>
    <row r="91" spans="1:11">
      <c r="A91" s="6" t="s">
        <v>623</v>
      </c>
      <c r="B91" s="6" t="s">
        <v>609</v>
      </c>
      <c r="C91" s="6">
        <v>1</v>
      </c>
      <c r="D91" s="6" t="s">
        <v>386</v>
      </c>
      <c r="E91" s="6" t="s">
        <v>41</v>
      </c>
      <c r="F91" s="6">
        <v>-1</v>
      </c>
      <c r="G91" s="6" t="s">
        <v>205</v>
      </c>
      <c r="H91" s="6"/>
      <c r="I91" s="6"/>
      <c r="J91" s="6"/>
      <c r="K91" s="6"/>
    </row>
    <row r="92" spans="1:11">
      <c r="A92" s="6" t="s">
        <v>624</v>
      </c>
      <c r="B92" s="6" t="s">
        <v>609</v>
      </c>
      <c r="C92" s="6">
        <v>1</v>
      </c>
      <c r="D92" s="6" t="s">
        <v>386</v>
      </c>
      <c r="E92" s="6" t="s">
        <v>41</v>
      </c>
      <c r="F92" s="6">
        <v>-1</v>
      </c>
      <c r="G92" s="6" t="s">
        <v>205</v>
      </c>
      <c r="H92" s="6"/>
      <c r="I92" s="6"/>
      <c r="J92" s="6"/>
      <c r="K92" s="6"/>
    </row>
    <row r="93" spans="1:11">
      <c r="A93" s="6" t="s">
        <v>625</v>
      </c>
      <c r="B93" s="6" t="s">
        <v>609</v>
      </c>
      <c r="C93" s="6">
        <v>1</v>
      </c>
      <c r="D93" s="6" t="s">
        <v>386</v>
      </c>
      <c r="E93" s="6" t="s">
        <v>41</v>
      </c>
      <c r="F93" s="6">
        <v>-1</v>
      </c>
      <c r="G93" s="6" t="s">
        <v>205</v>
      </c>
      <c r="H93" s="6"/>
      <c r="I93" s="6"/>
      <c r="J93" s="6"/>
      <c r="K93" s="6"/>
    </row>
    <row r="94" spans="1:11">
      <c r="A94" s="6" t="s">
        <v>626</v>
      </c>
      <c r="B94" s="6" t="s">
        <v>609</v>
      </c>
      <c r="C94" s="6">
        <v>1</v>
      </c>
      <c r="D94" s="6" t="s">
        <v>386</v>
      </c>
      <c r="E94" s="6" t="s">
        <v>41</v>
      </c>
      <c r="F94" s="6">
        <v>-1</v>
      </c>
      <c r="G94" s="6" t="s">
        <v>205</v>
      </c>
      <c r="H94" s="6"/>
      <c r="I94" s="6"/>
      <c r="J94" s="6"/>
      <c r="K94" s="6"/>
    </row>
    <row r="95" spans="1:11">
      <c r="A95" s="6" t="s">
        <v>627</v>
      </c>
      <c r="B95" s="6" t="s">
        <v>609</v>
      </c>
      <c r="C95" s="6">
        <v>1</v>
      </c>
      <c r="D95" s="6" t="s">
        <v>386</v>
      </c>
      <c r="E95" s="6" t="s">
        <v>41</v>
      </c>
      <c r="F95" s="6">
        <v>-1</v>
      </c>
      <c r="G95" s="6" t="s">
        <v>205</v>
      </c>
      <c r="H95" s="6"/>
      <c r="I95" s="6"/>
      <c r="J95" s="6"/>
      <c r="K95" s="6"/>
    </row>
    <row r="96" spans="1:11">
      <c r="A96" s="6" t="s">
        <v>628</v>
      </c>
      <c r="B96" s="6" t="s">
        <v>609</v>
      </c>
      <c r="C96" s="6">
        <v>1</v>
      </c>
      <c r="D96" s="6" t="s">
        <v>386</v>
      </c>
      <c r="E96" s="6" t="s">
        <v>41</v>
      </c>
      <c r="F96" s="6">
        <v>-1</v>
      </c>
      <c r="G96" s="6" t="s">
        <v>205</v>
      </c>
      <c r="H96" s="6"/>
      <c r="I96" s="6"/>
      <c r="J96" s="6"/>
      <c r="K96" s="6"/>
    </row>
    <row r="97" spans="1:11">
      <c r="A97" s="6" t="s">
        <v>629</v>
      </c>
      <c r="B97" s="6" t="s">
        <v>609</v>
      </c>
      <c r="C97" s="6">
        <v>1</v>
      </c>
      <c r="D97" s="6" t="s">
        <v>386</v>
      </c>
      <c r="E97" s="6" t="s">
        <v>41</v>
      </c>
      <c r="F97" s="6">
        <v>-1</v>
      </c>
      <c r="G97" s="6" t="s">
        <v>205</v>
      </c>
      <c r="H97" s="6"/>
      <c r="I97" s="6"/>
      <c r="J97" s="6"/>
      <c r="K97" s="6"/>
    </row>
    <row r="98" spans="1:11">
      <c r="A98" s="6" t="s">
        <v>630</v>
      </c>
      <c r="B98" s="6" t="s">
        <v>609</v>
      </c>
      <c r="C98" s="6">
        <v>1</v>
      </c>
      <c r="D98" s="6" t="s">
        <v>386</v>
      </c>
      <c r="E98" s="6" t="s">
        <v>41</v>
      </c>
      <c r="F98" s="6">
        <v>-1</v>
      </c>
      <c r="G98" s="6" t="s">
        <v>205</v>
      </c>
      <c r="H98" s="6"/>
      <c r="I98" s="6"/>
      <c r="J98" s="6"/>
      <c r="K98" s="6"/>
    </row>
    <row r="99" spans="1:11">
      <c r="A99" s="6" t="s">
        <v>631</v>
      </c>
      <c r="B99" s="6" t="s">
        <v>632</v>
      </c>
      <c r="C99" s="6">
        <v>1</v>
      </c>
      <c r="D99" s="6" t="s">
        <v>386</v>
      </c>
      <c r="E99" s="6" t="s">
        <v>46</v>
      </c>
      <c r="F99" s="6">
        <v>-1</v>
      </c>
      <c r="G99" s="6" t="s">
        <v>205</v>
      </c>
      <c r="H99" s="6"/>
      <c r="I99" s="6"/>
      <c r="J99" s="6"/>
      <c r="K99" s="6"/>
    </row>
    <row r="100" spans="1:11">
      <c r="A100" s="6" t="s">
        <v>633</v>
      </c>
      <c r="B100" s="6" t="s">
        <v>632</v>
      </c>
      <c r="C100" s="6">
        <v>1</v>
      </c>
      <c r="D100" s="6" t="s">
        <v>386</v>
      </c>
      <c r="E100" s="6" t="s">
        <v>46</v>
      </c>
      <c r="F100" s="6">
        <v>-1</v>
      </c>
      <c r="G100" s="6" t="s">
        <v>205</v>
      </c>
      <c r="H100" s="6"/>
      <c r="I100" s="6"/>
      <c r="J100" s="6"/>
      <c r="K100" s="6"/>
    </row>
    <row r="101" spans="1:11">
      <c r="A101" s="6" t="s">
        <v>634</v>
      </c>
      <c r="B101" s="6" t="s">
        <v>632</v>
      </c>
      <c r="C101" s="6">
        <v>1</v>
      </c>
      <c r="D101" s="6" t="s">
        <v>386</v>
      </c>
      <c r="E101" s="6" t="s">
        <v>46</v>
      </c>
      <c r="F101" s="6">
        <v>-1</v>
      </c>
      <c r="G101" s="6" t="s">
        <v>205</v>
      </c>
      <c r="H101" s="6"/>
      <c r="I101" s="6"/>
      <c r="J101" s="6"/>
      <c r="K101" s="6"/>
    </row>
    <row r="102" spans="1:11">
      <c r="A102" s="6" t="s">
        <v>635</v>
      </c>
      <c r="B102" s="6" t="s">
        <v>632</v>
      </c>
      <c r="C102" s="6">
        <v>1</v>
      </c>
      <c r="D102" s="6" t="s">
        <v>386</v>
      </c>
      <c r="E102" s="6" t="s">
        <v>46</v>
      </c>
      <c r="F102" s="6">
        <v>-1</v>
      </c>
      <c r="G102" s="6" t="s">
        <v>205</v>
      </c>
      <c r="H102" s="6"/>
      <c r="I102" s="6"/>
      <c r="J102" s="6"/>
      <c r="K102" s="6"/>
    </row>
    <row r="103" spans="1:11">
      <c r="A103" s="6" t="s">
        <v>636</v>
      </c>
      <c r="B103" s="6" t="s">
        <v>632</v>
      </c>
      <c r="C103" s="6">
        <v>1</v>
      </c>
      <c r="D103" s="6" t="s">
        <v>386</v>
      </c>
      <c r="E103" s="6" t="s">
        <v>46</v>
      </c>
      <c r="F103" s="6">
        <v>-1</v>
      </c>
      <c r="G103" s="6" t="s">
        <v>205</v>
      </c>
      <c r="H103" s="6"/>
      <c r="I103" s="6"/>
      <c r="J103" s="6"/>
      <c r="K103" s="6"/>
    </row>
    <row r="104" spans="1:11">
      <c r="A104" s="6" t="s">
        <v>637</v>
      </c>
      <c r="B104" s="6" t="s">
        <v>632</v>
      </c>
      <c r="C104" s="6">
        <v>1</v>
      </c>
      <c r="D104" s="6" t="s">
        <v>386</v>
      </c>
      <c r="E104" s="6" t="s">
        <v>46</v>
      </c>
      <c r="F104" s="6">
        <v>-1</v>
      </c>
      <c r="G104" s="6" t="s">
        <v>205</v>
      </c>
      <c r="H104" s="6"/>
      <c r="I104" s="6"/>
      <c r="J104" s="6"/>
      <c r="K104" s="6"/>
    </row>
    <row r="105" spans="1:11">
      <c r="A105" s="6" t="s">
        <v>638</v>
      </c>
      <c r="B105" s="6" t="s">
        <v>632</v>
      </c>
      <c r="C105" s="6">
        <v>1</v>
      </c>
      <c r="D105" s="6" t="s">
        <v>386</v>
      </c>
      <c r="E105" s="6" t="s">
        <v>46</v>
      </c>
      <c r="F105" s="6">
        <v>-1</v>
      </c>
      <c r="G105" s="6" t="s">
        <v>205</v>
      </c>
      <c r="H105" s="6"/>
      <c r="I105" s="6"/>
      <c r="J105" s="6"/>
      <c r="K105" s="6"/>
    </row>
    <row r="106" spans="1:11">
      <c r="A106" s="6" t="s">
        <v>639</v>
      </c>
      <c r="B106" s="6" t="s">
        <v>632</v>
      </c>
      <c r="C106" s="6">
        <v>1</v>
      </c>
      <c r="D106" s="6" t="s">
        <v>386</v>
      </c>
      <c r="E106" s="6" t="s">
        <v>46</v>
      </c>
      <c r="F106" s="6">
        <v>-1</v>
      </c>
      <c r="G106" s="6" t="s">
        <v>205</v>
      </c>
      <c r="H106" s="6"/>
      <c r="I106" s="6"/>
      <c r="J106" s="6"/>
      <c r="K106" s="6"/>
    </row>
    <row r="107" spans="1:11">
      <c r="A107" s="6" t="s">
        <v>640</v>
      </c>
      <c r="B107" s="6" t="s">
        <v>632</v>
      </c>
      <c r="C107" s="6">
        <v>1</v>
      </c>
      <c r="D107" s="6" t="s">
        <v>386</v>
      </c>
      <c r="E107" s="6" t="s">
        <v>46</v>
      </c>
      <c r="F107" s="6">
        <v>-1</v>
      </c>
      <c r="G107" s="6" t="s">
        <v>205</v>
      </c>
      <c r="H107" s="6"/>
      <c r="I107" s="6"/>
      <c r="J107" s="6"/>
      <c r="K107" s="6"/>
    </row>
    <row r="108" spans="1:11">
      <c r="A108" s="6" t="s">
        <v>641</v>
      </c>
      <c r="B108" s="6" t="s">
        <v>632</v>
      </c>
      <c r="C108" s="6">
        <v>1</v>
      </c>
      <c r="D108" s="6" t="s">
        <v>386</v>
      </c>
      <c r="E108" s="6" t="s">
        <v>41</v>
      </c>
      <c r="F108" s="6">
        <v>-1</v>
      </c>
      <c r="G108" s="6" t="s">
        <v>205</v>
      </c>
      <c r="H108" s="6"/>
      <c r="I108" s="6"/>
      <c r="J108" s="6"/>
      <c r="K108" s="6"/>
    </row>
    <row r="109" spans="1:11">
      <c r="A109" s="6" t="s">
        <v>642</v>
      </c>
      <c r="B109" s="6" t="s">
        <v>632</v>
      </c>
      <c r="C109" s="6">
        <v>1</v>
      </c>
      <c r="D109" s="6" t="s">
        <v>386</v>
      </c>
      <c r="E109" s="6" t="s">
        <v>41</v>
      </c>
      <c r="F109" s="6">
        <v>-1</v>
      </c>
      <c r="G109" s="6" t="s">
        <v>205</v>
      </c>
      <c r="H109" s="6"/>
      <c r="I109" s="6"/>
      <c r="J109" s="6"/>
      <c r="K109" s="6"/>
    </row>
    <row r="110" spans="1:11">
      <c r="A110" s="6" t="s">
        <v>643</v>
      </c>
      <c r="B110" s="6" t="s">
        <v>632</v>
      </c>
      <c r="C110" s="6">
        <v>1</v>
      </c>
      <c r="D110" s="6" t="s">
        <v>386</v>
      </c>
      <c r="E110" s="6" t="s">
        <v>41</v>
      </c>
      <c r="F110" s="6">
        <v>-1</v>
      </c>
      <c r="G110" s="6" t="s">
        <v>205</v>
      </c>
      <c r="H110" s="6"/>
      <c r="I110" s="6"/>
      <c r="J110" s="6"/>
      <c r="K110" s="6"/>
    </row>
    <row r="111" spans="1:11">
      <c r="A111" s="6" t="s">
        <v>603</v>
      </c>
      <c r="B111" s="6" t="s">
        <v>644</v>
      </c>
      <c r="C111" s="6">
        <v>1</v>
      </c>
      <c r="D111" s="6" t="s">
        <v>386</v>
      </c>
      <c r="E111" s="6" t="s">
        <v>645</v>
      </c>
      <c r="F111" s="6">
        <v>-1</v>
      </c>
      <c r="G111" s="6" t="s">
        <v>205</v>
      </c>
      <c r="H111" s="6"/>
      <c r="I111" s="6"/>
      <c r="J111" s="6"/>
      <c r="K111" s="6"/>
    </row>
    <row r="112" spans="1:11">
      <c r="A112" s="6" t="s">
        <v>609</v>
      </c>
      <c r="B112" s="6" t="s">
        <v>644</v>
      </c>
      <c r="C112" s="6">
        <v>1</v>
      </c>
      <c r="D112" s="6" t="s">
        <v>386</v>
      </c>
      <c r="E112" s="6" t="s">
        <v>646</v>
      </c>
      <c r="F112" s="6">
        <v>-1</v>
      </c>
      <c r="G112" s="6" t="s">
        <v>205</v>
      </c>
      <c r="H112" s="6"/>
      <c r="I112" s="6"/>
      <c r="J112" s="6"/>
      <c r="K112" s="6"/>
    </row>
    <row r="113" spans="1:11">
      <c r="A113" s="6" t="s">
        <v>632</v>
      </c>
      <c r="B113" s="6" t="s">
        <v>644</v>
      </c>
      <c r="C113" s="6">
        <v>1</v>
      </c>
      <c r="D113" s="6" t="s">
        <v>386</v>
      </c>
      <c r="E113" s="6" t="s">
        <v>647</v>
      </c>
      <c r="F113" s="6">
        <v>-1</v>
      </c>
      <c r="G113" s="6" t="s">
        <v>205</v>
      </c>
      <c r="H113" s="6"/>
      <c r="I113" s="6"/>
      <c r="J113" s="6"/>
      <c r="K113" s="6"/>
    </row>
    <row r="114" spans="1:11">
      <c r="A114" s="6" t="s">
        <v>648</v>
      </c>
      <c r="B114" s="6" t="s">
        <v>649</v>
      </c>
      <c r="C114" s="6">
        <v>1</v>
      </c>
      <c r="D114" s="6" t="s">
        <v>386</v>
      </c>
      <c r="E114" s="6" t="s">
        <v>46</v>
      </c>
      <c r="F114" s="6">
        <v>-1</v>
      </c>
      <c r="G114" s="6" t="s">
        <v>205</v>
      </c>
      <c r="H114" s="6"/>
      <c r="I114" s="6"/>
      <c r="J114" s="6"/>
      <c r="K114" s="6"/>
    </row>
    <row r="115" spans="1:11">
      <c r="A115" s="6" t="s">
        <v>650</v>
      </c>
      <c r="B115" s="6" t="s">
        <v>649</v>
      </c>
      <c r="C115" s="6">
        <v>1</v>
      </c>
      <c r="D115" s="6" t="s">
        <v>386</v>
      </c>
      <c r="E115" s="6" t="s">
        <v>46</v>
      </c>
      <c r="F115" s="6">
        <v>-1</v>
      </c>
      <c r="G115" s="6" t="s">
        <v>205</v>
      </c>
      <c r="H115" s="6"/>
      <c r="I115" s="6"/>
      <c r="J115" s="6"/>
      <c r="K115" s="6"/>
    </row>
    <row r="116" spans="1:11">
      <c r="A116" s="6" t="s">
        <v>651</v>
      </c>
      <c r="B116" s="6" t="s">
        <v>649</v>
      </c>
      <c r="C116" s="6">
        <v>1</v>
      </c>
      <c r="D116" s="6" t="s">
        <v>386</v>
      </c>
      <c r="E116" s="6" t="s">
        <v>46</v>
      </c>
      <c r="F116" s="6">
        <v>-1</v>
      </c>
      <c r="G116" s="6" t="s">
        <v>205</v>
      </c>
      <c r="H116" s="6"/>
      <c r="I116" s="6"/>
      <c r="J116" s="6"/>
      <c r="K116" s="6"/>
    </row>
    <row r="117" spans="1:11">
      <c r="A117" s="6" t="s">
        <v>652</v>
      </c>
      <c r="B117" s="6" t="s">
        <v>649</v>
      </c>
      <c r="C117" s="6">
        <v>1</v>
      </c>
      <c r="D117" s="6" t="s">
        <v>386</v>
      </c>
      <c r="E117" s="6" t="s">
        <v>46</v>
      </c>
      <c r="F117" s="6">
        <v>-1</v>
      </c>
      <c r="G117" s="6" t="s">
        <v>205</v>
      </c>
      <c r="H117" s="6"/>
      <c r="I117" s="6"/>
      <c r="J117" s="6"/>
      <c r="K117" s="6"/>
    </row>
    <row r="118" spans="1:11">
      <c r="A118" s="6" t="s">
        <v>653</v>
      </c>
      <c r="B118" s="6" t="s">
        <v>649</v>
      </c>
      <c r="C118" s="6">
        <v>1</v>
      </c>
      <c r="D118" s="6" t="s">
        <v>386</v>
      </c>
      <c r="E118" s="6" t="s">
        <v>46</v>
      </c>
      <c r="F118" s="6">
        <v>-1</v>
      </c>
      <c r="G118" s="6" t="s">
        <v>205</v>
      </c>
      <c r="H118" s="6"/>
      <c r="I118" s="6"/>
      <c r="J118" s="6"/>
      <c r="K118" s="6"/>
    </row>
    <row r="119" spans="1:11">
      <c r="A119" s="6" t="s">
        <v>654</v>
      </c>
      <c r="B119" s="6" t="s">
        <v>649</v>
      </c>
      <c r="C119" s="6">
        <v>1</v>
      </c>
      <c r="D119" s="6" t="s">
        <v>386</v>
      </c>
      <c r="E119" s="6" t="s">
        <v>218</v>
      </c>
      <c r="F119" s="6">
        <v>-1</v>
      </c>
      <c r="G119" s="6" t="s">
        <v>205</v>
      </c>
      <c r="H119" s="6"/>
      <c r="I119" s="6"/>
      <c r="J119" s="6"/>
      <c r="K119" s="6"/>
    </row>
    <row r="120" spans="1:11">
      <c r="A120" s="6" t="s">
        <v>655</v>
      </c>
      <c r="B120" s="6" t="s">
        <v>649</v>
      </c>
      <c r="C120" s="6">
        <v>1</v>
      </c>
      <c r="D120" s="6" t="s">
        <v>386</v>
      </c>
      <c r="E120" s="6" t="s">
        <v>46</v>
      </c>
      <c r="F120" s="6">
        <v>-1</v>
      </c>
      <c r="G120" s="6" t="s">
        <v>205</v>
      </c>
      <c r="H120" s="6"/>
      <c r="I120" s="6"/>
      <c r="J120" s="6"/>
      <c r="K120" s="6"/>
    </row>
    <row r="121" spans="1:11">
      <c r="A121" s="6" t="s">
        <v>656</v>
      </c>
      <c r="B121" s="6" t="s">
        <v>649</v>
      </c>
      <c r="C121" s="6">
        <v>1</v>
      </c>
      <c r="D121" s="6" t="s">
        <v>386</v>
      </c>
      <c r="E121" s="6" t="s">
        <v>46</v>
      </c>
      <c r="F121" s="6">
        <v>-1</v>
      </c>
      <c r="G121" s="6" t="s">
        <v>205</v>
      </c>
      <c r="H121" s="6"/>
      <c r="I121" s="6"/>
      <c r="J121" s="6"/>
      <c r="K121" s="6"/>
    </row>
    <row r="122" spans="1:11">
      <c r="A122" s="6" t="s">
        <v>657</v>
      </c>
      <c r="B122" s="6" t="s">
        <v>658</v>
      </c>
      <c r="C122" s="6">
        <v>1</v>
      </c>
      <c r="D122" s="6" t="s">
        <v>386</v>
      </c>
      <c r="E122" s="6" t="s">
        <v>46</v>
      </c>
      <c r="F122" s="6">
        <v>-1</v>
      </c>
      <c r="G122" s="6" t="s">
        <v>205</v>
      </c>
      <c r="H122" s="6"/>
      <c r="I122" s="6"/>
      <c r="J122" s="6"/>
      <c r="K122" s="6"/>
    </row>
    <row r="123" spans="1:11">
      <c r="A123" s="6" t="s">
        <v>659</v>
      </c>
      <c r="B123" s="6" t="s">
        <v>658</v>
      </c>
      <c r="C123" s="6">
        <v>1</v>
      </c>
      <c r="D123" s="6" t="s">
        <v>386</v>
      </c>
      <c r="E123" s="6" t="s">
        <v>46</v>
      </c>
      <c r="F123" s="6">
        <v>-1</v>
      </c>
      <c r="G123" s="6" t="s">
        <v>205</v>
      </c>
      <c r="H123" s="6"/>
      <c r="I123" s="6"/>
      <c r="J123" s="6"/>
      <c r="K123" s="6"/>
    </row>
    <row r="124" spans="1:11">
      <c r="A124" s="6" t="s">
        <v>660</v>
      </c>
      <c r="B124" s="6" t="s">
        <v>658</v>
      </c>
      <c r="C124" s="6">
        <v>1</v>
      </c>
      <c r="D124" s="6" t="s">
        <v>386</v>
      </c>
      <c r="E124" s="6" t="s">
        <v>46</v>
      </c>
      <c r="F124" s="6">
        <v>-1</v>
      </c>
      <c r="G124" s="6" t="s">
        <v>205</v>
      </c>
      <c r="H124" s="6"/>
      <c r="I124" s="6"/>
      <c r="J124" s="6"/>
      <c r="K124" s="6"/>
    </row>
    <row r="125" spans="1:11">
      <c r="A125" s="6" t="s">
        <v>661</v>
      </c>
      <c r="B125" s="6" t="s">
        <v>658</v>
      </c>
      <c r="C125" s="6">
        <v>1</v>
      </c>
      <c r="D125" s="6" t="s">
        <v>386</v>
      </c>
      <c r="E125" s="6" t="s">
        <v>46</v>
      </c>
      <c r="F125" s="6">
        <v>-1</v>
      </c>
      <c r="G125" s="6" t="s">
        <v>205</v>
      </c>
      <c r="H125" s="6"/>
      <c r="I125" s="6"/>
      <c r="J125" s="6"/>
      <c r="K125" s="6"/>
    </row>
    <row r="126" spans="1:11">
      <c r="A126" s="6" t="s">
        <v>662</v>
      </c>
      <c r="B126" s="6" t="s">
        <v>658</v>
      </c>
      <c r="C126" s="6">
        <v>1</v>
      </c>
      <c r="D126" s="6" t="s">
        <v>386</v>
      </c>
      <c r="E126" s="6" t="s">
        <v>46</v>
      </c>
      <c r="F126" s="6">
        <v>-1</v>
      </c>
      <c r="G126" s="6" t="s">
        <v>205</v>
      </c>
      <c r="H126" s="6"/>
      <c r="I126" s="6"/>
      <c r="J126" s="6"/>
      <c r="K126" s="6"/>
    </row>
    <row r="127" spans="1:11">
      <c r="A127" s="6" t="s">
        <v>663</v>
      </c>
      <c r="B127" s="6" t="s">
        <v>658</v>
      </c>
      <c r="C127" s="6">
        <v>1</v>
      </c>
      <c r="D127" s="6" t="s">
        <v>386</v>
      </c>
      <c r="E127" s="6" t="s">
        <v>46</v>
      </c>
      <c r="F127" s="6">
        <v>-1</v>
      </c>
      <c r="G127" s="6" t="s">
        <v>205</v>
      </c>
      <c r="H127" s="6"/>
      <c r="I127" s="6"/>
      <c r="J127" s="6"/>
      <c r="K127" s="6"/>
    </row>
    <row r="128" spans="1:11">
      <c r="A128" s="6" t="s">
        <v>405</v>
      </c>
      <c r="B128" s="6" t="s">
        <v>664</v>
      </c>
      <c r="C128" s="6">
        <v>1</v>
      </c>
      <c r="D128" s="6" t="s">
        <v>386</v>
      </c>
      <c r="E128" s="6" t="s">
        <v>45</v>
      </c>
      <c r="F128" s="6">
        <v>-1</v>
      </c>
      <c r="G128" s="6" t="s">
        <v>205</v>
      </c>
      <c r="H128" s="6"/>
      <c r="I128" s="6"/>
      <c r="J128" s="6"/>
      <c r="K128" s="6"/>
    </row>
    <row r="129" spans="1:11">
      <c r="A129" s="6" t="s">
        <v>407</v>
      </c>
      <c r="B129" s="6" t="s">
        <v>664</v>
      </c>
      <c r="C129" s="6">
        <v>1</v>
      </c>
      <c r="D129" s="6" t="s">
        <v>386</v>
      </c>
      <c r="E129" s="6" t="s">
        <v>45</v>
      </c>
      <c r="F129" s="6">
        <v>-1</v>
      </c>
      <c r="G129" s="6" t="s">
        <v>205</v>
      </c>
      <c r="H129" s="6"/>
      <c r="I129" s="6"/>
      <c r="J129" s="6"/>
      <c r="K129" s="6"/>
    </row>
    <row r="130" spans="1:11">
      <c r="A130" s="6" t="s">
        <v>409</v>
      </c>
      <c r="B130" s="6" t="s">
        <v>664</v>
      </c>
      <c r="C130" s="6">
        <v>1</v>
      </c>
      <c r="D130" s="6" t="s">
        <v>386</v>
      </c>
      <c r="E130" s="6" t="s">
        <v>45</v>
      </c>
      <c r="F130" s="6">
        <v>-1</v>
      </c>
      <c r="G130" s="6" t="s">
        <v>205</v>
      </c>
      <c r="H130" s="6"/>
      <c r="I130" s="6"/>
      <c r="J130" s="6"/>
      <c r="K130" s="6"/>
    </row>
    <row r="131" spans="1:11">
      <c r="A131" s="6" t="s">
        <v>411</v>
      </c>
      <c r="B131" s="6" t="s">
        <v>664</v>
      </c>
      <c r="C131" s="6">
        <v>1</v>
      </c>
      <c r="D131" s="6" t="s">
        <v>386</v>
      </c>
      <c r="E131" s="6" t="s">
        <v>45</v>
      </c>
      <c r="F131" s="6">
        <v>-1</v>
      </c>
      <c r="G131" s="6" t="s">
        <v>205</v>
      </c>
      <c r="H131" s="6"/>
      <c r="I131" s="6"/>
      <c r="J131" s="6"/>
      <c r="K131" s="6"/>
    </row>
    <row r="132" spans="1:11">
      <c r="A132" s="6" t="s">
        <v>665</v>
      </c>
      <c r="B132" s="6" t="s">
        <v>664</v>
      </c>
      <c r="C132" s="6">
        <v>1</v>
      </c>
      <c r="D132" s="6" t="s">
        <v>386</v>
      </c>
      <c r="E132" s="6" t="s">
        <v>45</v>
      </c>
      <c r="F132" s="6">
        <v>-1</v>
      </c>
      <c r="G132" s="6" t="s">
        <v>205</v>
      </c>
      <c r="H132" s="6"/>
      <c r="I132" s="6"/>
      <c r="J132" s="6"/>
      <c r="K132" s="6"/>
    </row>
    <row r="133" spans="1:11">
      <c r="A133" s="6" t="s">
        <v>666</v>
      </c>
      <c r="B133" s="6" t="s">
        <v>664</v>
      </c>
      <c r="C133" s="6">
        <v>1</v>
      </c>
      <c r="D133" s="6" t="s">
        <v>386</v>
      </c>
      <c r="E133" s="6" t="s">
        <v>45</v>
      </c>
      <c r="F133" s="6">
        <v>-1</v>
      </c>
      <c r="G133" s="6" t="s">
        <v>205</v>
      </c>
      <c r="H133" s="6"/>
      <c r="I133" s="6"/>
      <c r="J133" s="6"/>
      <c r="K133" s="6"/>
    </row>
    <row r="134" spans="1:11">
      <c r="A134" s="6" t="s">
        <v>667</v>
      </c>
      <c r="B134" s="6" t="s">
        <v>664</v>
      </c>
      <c r="C134" s="6">
        <v>1</v>
      </c>
      <c r="D134" s="6" t="s">
        <v>386</v>
      </c>
      <c r="E134" s="6" t="s">
        <v>45</v>
      </c>
      <c r="F134" s="6">
        <v>-1</v>
      </c>
      <c r="G134" s="6" t="s">
        <v>205</v>
      </c>
      <c r="H134" s="6"/>
      <c r="I134" s="6"/>
      <c r="J134" s="6"/>
      <c r="K134" s="6"/>
    </row>
    <row r="135" spans="1:11">
      <c r="A135" s="6" t="s">
        <v>668</v>
      </c>
      <c r="B135" s="6" t="s">
        <v>664</v>
      </c>
      <c r="C135" s="6">
        <v>1</v>
      </c>
      <c r="D135" s="6" t="s">
        <v>386</v>
      </c>
      <c r="E135" s="6" t="s">
        <v>45</v>
      </c>
      <c r="F135" s="6">
        <v>-1</v>
      </c>
      <c r="G135" s="6" t="s">
        <v>205</v>
      </c>
      <c r="H135" s="6"/>
      <c r="I135" s="6"/>
      <c r="J135" s="6"/>
      <c r="K135" s="6"/>
    </row>
    <row r="136" spans="1:11">
      <c r="A136" s="6" t="s">
        <v>669</v>
      </c>
      <c r="B136" s="6" t="s">
        <v>664</v>
      </c>
      <c r="C136" s="6">
        <v>1</v>
      </c>
      <c r="D136" s="6" t="s">
        <v>386</v>
      </c>
      <c r="E136" s="6" t="s">
        <v>45</v>
      </c>
      <c r="F136" s="6">
        <v>-1</v>
      </c>
      <c r="G136" s="6" t="s">
        <v>205</v>
      </c>
      <c r="H136" s="6"/>
      <c r="I136" s="6"/>
      <c r="J136" s="6"/>
      <c r="K136" s="6"/>
    </row>
    <row r="137" spans="1:11">
      <c r="A137" s="6" t="s">
        <v>670</v>
      </c>
      <c r="B137" s="6" t="s">
        <v>664</v>
      </c>
      <c r="C137" s="6">
        <v>1</v>
      </c>
      <c r="D137" s="6" t="s">
        <v>386</v>
      </c>
      <c r="E137" s="6" t="s">
        <v>45</v>
      </c>
      <c r="F137" s="6">
        <v>-1</v>
      </c>
      <c r="G137" s="6" t="s">
        <v>205</v>
      </c>
      <c r="H137" s="6"/>
      <c r="I137" s="6"/>
      <c r="J137" s="6"/>
      <c r="K137" s="6"/>
    </row>
    <row r="138" spans="1:11">
      <c r="A138" s="6" t="s">
        <v>671</v>
      </c>
      <c r="B138" s="6" t="s">
        <v>664</v>
      </c>
      <c r="C138" s="6">
        <v>1</v>
      </c>
      <c r="D138" s="6" t="s">
        <v>386</v>
      </c>
      <c r="E138" s="6" t="s">
        <v>45</v>
      </c>
      <c r="F138" s="6">
        <v>-1</v>
      </c>
      <c r="G138" s="6" t="s">
        <v>205</v>
      </c>
      <c r="H138" s="6"/>
      <c r="I138" s="6"/>
      <c r="J138" s="6"/>
      <c r="K138" s="6"/>
    </row>
    <row r="139" spans="1:11">
      <c r="A139" s="6" t="s">
        <v>672</v>
      </c>
      <c r="B139" s="6" t="s">
        <v>664</v>
      </c>
      <c r="C139" s="6">
        <v>1</v>
      </c>
      <c r="D139" s="6" t="s">
        <v>386</v>
      </c>
      <c r="E139" s="6" t="s">
        <v>45</v>
      </c>
      <c r="F139" s="6">
        <v>-1</v>
      </c>
      <c r="G139" s="6" t="s">
        <v>205</v>
      </c>
      <c r="H139" s="6"/>
      <c r="I139" s="6"/>
      <c r="J139" s="6"/>
      <c r="K139" s="6"/>
    </row>
    <row r="140" spans="1:11">
      <c r="A140" s="6" t="s">
        <v>673</v>
      </c>
      <c r="B140" s="6" t="s">
        <v>664</v>
      </c>
      <c r="C140" s="6">
        <v>1</v>
      </c>
      <c r="D140" s="6" t="s">
        <v>386</v>
      </c>
      <c r="E140" s="6" t="s">
        <v>45</v>
      </c>
      <c r="F140" s="6">
        <v>-1</v>
      </c>
      <c r="G140" s="6" t="s">
        <v>205</v>
      </c>
      <c r="H140" s="6"/>
      <c r="I140" s="6"/>
      <c r="J140" s="6"/>
      <c r="K140" s="6"/>
    </row>
    <row r="141" spans="1:11">
      <c r="A141" s="6" t="s">
        <v>674</v>
      </c>
      <c r="B141" s="6" t="s">
        <v>664</v>
      </c>
      <c r="C141" s="6">
        <v>1</v>
      </c>
      <c r="D141" s="6" t="s">
        <v>386</v>
      </c>
      <c r="E141" s="6" t="s">
        <v>45</v>
      </c>
      <c r="F141" s="6">
        <v>-1</v>
      </c>
      <c r="G141" s="6" t="s">
        <v>205</v>
      </c>
      <c r="H141" s="6"/>
      <c r="I141" s="6"/>
      <c r="J141" s="6"/>
      <c r="K141" s="6"/>
    </row>
    <row r="142" spans="1:11">
      <c r="A142" s="6" t="s">
        <v>675</v>
      </c>
      <c r="B142" s="6" t="s">
        <v>664</v>
      </c>
      <c r="C142" s="6">
        <v>1</v>
      </c>
      <c r="D142" s="6" t="s">
        <v>386</v>
      </c>
      <c r="E142" s="6" t="s">
        <v>45</v>
      </c>
      <c r="F142" s="6">
        <v>-1</v>
      </c>
      <c r="G142" s="6" t="s">
        <v>205</v>
      </c>
      <c r="H142" s="6"/>
      <c r="I142" s="6"/>
      <c r="J142" s="6"/>
      <c r="K142" s="6"/>
    </row>
    <row r="143" spans="1:11">
      <c r="A143" s="6" t="s">
        <v>676</v>
      </c>
      <c r="B143" s="6" t="s">
        <v>664</v>
      </c>
      <c r="C143" s="6">
        <v>1</v>
      </c>
      <c r="D143" s="6" t="s">
        <v>386</v>
      </c>
      <c r="E143" s="6" t="s">
        <v>45</v>
      </c>
      <c r="F143" s="6">
        <v>-1</v>
      </c>
      <c r="G143" s="6" t="s">
        <v>205</v>
      </c>
      <c r="H143" s="6"/>
      <c r="I143" s="6"/>
      <c r="J143" s="6"/>
      <c r="K143" s="6"/>
    </row>
    <row r="144" spans="1:11">
      <c r="A144" s="6" t="s">
        <v>677</v>
      </c>
      <c r="B144" s="6" t="s">
        <v>678</v>
      </c>
      <c r="C144" s="6">
        <v>1</v>
      </c>
      <c r="D144" s="6" t="s">
        <v>386</v>
      </c>
      <c r="E144" s="6" t="s">
        <v>45</v>
      </c>
      <c r="F144" s="6">
        <v>-1</v>
      </c>
      <c r="G144" s="6" t="s">
        <v>205</v>
      </c>
      <c r="H144" s="6"/>
      <c r="I144" s="6"/>
      <c r="J144" s="6"/>
      <c r="K144" s="6"/>
    </row>
    <row r="145" spans="1:11">
      <c r="A145" s="6" t="s">
        <v>679</v>
      </c>
      <c r="B145" s="6" t="s">
        <v>678</v>
      </c>
      <c r="C145" s="6">
        <v>1</v>
      </c>
      <c r="D145" s="6" t="s">
        <v>386</v>
      </c>
      <c r="E145" s="6" t="s">
        <v>46</v>
      </c>
      <c r="F145" s="6">
        <v>-1</v>
      </c>
      <c r="G145" s="6" t="s">
        <v>205</v>
      </c>
      <c r="H145" s="6"/>
      <c r="I145" s="6"/>
      <c r="J145" s="6"/>
      <c r="K145" s="6"/>
    </row>
    <row r="146" spans="1:11">
      <c r="A146" s="6" t="s">
        <v>680</v>
      </c>
      <c r="B146" s="6" t="s">
        <v>678</v>
      </c>
      <c r="C146" s="6">
        <v>1</v>
      </c>
      <c r="D146" s="6" t="s">
        <v>386</v>
      </c>
      <c r="E146" s="6" t="s">
        <v>38</v>
      </c>
      <c r="F146" s="6">
        <v>-1</v>
      </c>
      <c r="G146" s="6" t="s">
        <v>205</v>
      </c>
      <c r="H146" s="6"/>
      <c r="I146" s="6"/>
      <c r="J146" s="6"/>
      <c r="K146" s="6"/>
    </row>
    <row r="147" spans="1:11">
      <c r="A147" s="6" t="s">
        <v>681</v>
      </c>
      <c r="B147" s="6" t="s">
        <v>682</v>
      </c>
      <c r="C147" s="6">
        <v>1</v>
      </c>
      <c r="D147" s="6" t="s">
        <v>386</v>
      </c>
      <c r="E147" s="6" t="s">
        <v>45</v>
      </c>
      <c r="F147" s="6">
        <v>-1</v>
      </c>
      <c r="G147" s="6" t="s">
        <v>205</v>
      </c>
      <c r="H147" s="6"/>
      <c r="I147" s="6"/>
      <c r="J147" s="6"/>
      <c r="K147" s="6"/>
    </row>
    <row r="148" spans="1:11">
      <c r="A148" s="6" t="s">
        <v>683</v>
      </c>
      <c r="B148" s="6" t="s">
        <v>682</v>
      </c>
      <c r="C148" s="6">
        <v>1</v>
      </c>
      <c r="D148" s="6" t="s">
        <v>386</v>
      </c>
      <c r="E148" s="6" t="s">
        <v>45</v>
      </c>
      <c r="F148" s="6">
        <v>-1</v>
      </c>
      <c r="G148" s="6" t="s">
        <v>205</v>
      </c>
      <c r="H148" s="6"/>
      <c r="I148" s="6"/>
      <c r="J148" s="6"/>
      <c r="K148" s="6"/>
    </row>
    <row r="149" spans="1:11">
      <c r="A149" s="6" t="s">
        <v>684</v>
      </c>
      <c r="B149" s="6" t="s">
        <v>682</v>
      </c>
      <c r="C149" s="6">
        <v>1</v>
      </c>
      <c r="D149" s="6" t="s">
        <v>386</v>
      </c>
      <c r="E149" s="6" t="s">
        <v>45</v>
      </c>
      <c r="F149" s="6">
        <v>-1</v>
      </c>
      <c r="G149" s="6" t="s">
        <v>205</v>
      </c>
      <c r="H149" s="6"/>
      <c r="I149" s="6"/>
      <c r="J149" s="6"/>
      <c r="K149" s="6"/>
    </row>
    <row r="150" spans="1:11">
      <c r="A150" s="6" t="s">
        <v>685</v>
      </c>
      <c r="B150" s="6" t="s">
        <v>682</v>
      </c>
      <c r="C150" s="6">
        <v>1</v>
      </c>
      <c r="D150" s="6" t="s">
        <v>386</v>
      </c>
      <c r="E150" s="6" t="s">
        <v>45</v>
      </c>
      <c r="F150" s="6">
        <v>-1</v>
      </c>
      <c r="G150" s="6" t="s">
        <v>205</v>
      </c>
      <c r="H150" s="6"/>
      <c r="I150" s="6"/>
      <c r="J150" s="6"/>
      <c r="K150" s="6"/>
    </row>
    <row r="151" spans="1:11">
      <c r="A151" s="6" t="s">
        <v>686</v>
      </c>
      <c r="B151" s="6" t="s">
        <v>682</v>
      </c>
      <c r="C151" s="6">
        <v>1</v>
      </c>
      <c r="D151" s="6" t="s">
        <v>386</v>
      </c>
      <c r="E151" s="6" t="s">
        <v>45</v>
      </c>
      <c r="F151" s="6">
        <v>-1</v>
      </c>
      <c r="G151" s="6" t="s">
        <v>205</v>
      </c>
      <c r="H151" s="6"/>
      <c r="I151" s="6"/>
      <c r="J151" s="6"/>
      <c r="K151" s="6"/>
    </row>
    <row r="152" spans="1:11">
      <c r="A152" s="6" t="s">
        <v>687</v>
      </c>
      <c r="B152" s="6" t="s">
        <v>688</v>
      </c>
      <c r="C152" s="6">
        <v>1</v>
      </c>
      <c r="D152" s="6" t="s">
        <v>386</v>
      </c>
      <c r="E152" s="6" t="s">
        <v>45</v>
      </c>
      <c r="F152" s="6">
        <v>-1</v>
      </c>
      <c r="G152" s="6" t="s">
        <v>205</v>
      </c>
      <c r="H152" s="6"/>
      <c r="I152" s="6"/>
      <c r="J152" s="6"/>
      <c r="K152" s="6"/>
    </row>
    <row r="153" spans="1:11">
      <c r="A153" s="6" t="s">
        <v>689</v>
      </c>
      <c r="B153" s="6" t="s">
        <v>688</v>
      </c>
      <c r="C153" s="6">
        <v>1</v>
      </c>
      <c r="D153" s="6" t="s">
        <v>386</v>
      </c>
      <c r="E153" s="6" t="s">
        <v>45</v>
      </c>
      <c r="F153" s="6">
        <v>-1</v>
      </c>
      <c r="G153" s="6" t="s">
        <v>205</v>
      </c>
      <c r="H153" s="6"/>
      <c r="I153" s="6"/>
      <c r="J153" s="6"/>
      <c r="K153" s="6"/>
    </row>
    <row r="154" spans="1:11">
      <c r="A154" s="6" t="s">
        <v>690</v>
      </c>
      <c r="B154" s="6" t="s">
        <v>688</v>
      </c>
      <c r="C154" s="6">
        <v>1</v>
      </c>
      <c r="D154" s="6" t="s">
        <v>386</v>
      </c>
      <c r="E154" s="6" t="s">
        <v>45</v>
      </c>
      <c r="F154" s="6">
        <v>-1</v>
      </c>
      <c r="G154" s="6" t="s">
        <v>205</v>
      </c>
      <c r="H154" s="6"/>
      <c r="I154" s="6"/>
      <c r="J154" s="6"/>
      <c r="K154" s="6"/>
    </row>
    <row r="155" spans="1:11">
      <c r="A155" s="6" t="s">
        <v>691</v>
      </c>
      <c r="B155" s="6" t="s">
        <v>688</v>
      </c>
      <c r="C155" s="6">
        <v>1</v>
      </c>
      <c r="D155" s="6" t="s">
        <v>386</v>
      </c>
      <c r="E155" s="6" t="s">
        <v>45</v>
      </c>
      <c r="F155" s="6">
        <v>-1</v>
      </c>
      <c r="G155" s="6" t="s">
        <v>205</v>
      </c>
      <c r="H155" s="6"/>
      <c r="I155" s="6"/>
      <c r="J155" s="6"/>
      <c r="K155" s="6"/>
    </row>
    <row r="156" spans="1:11">
      <c r="A156" s="6" t="s">
        <v>692</v>
      </c>
      <c r="B156" s="6" t="s">
        <v>688</v>
      </c>
      <c r="C156" s="6">
        <v>1</v>
      </c>
      <c r="D156" s="6" t="s">
        <v>386</v>
      </c>
      <c r="E156" s="6" t="s">
        <v>45</v>
      </c>
      <c r="F156" s="6">
        <v>-1</v>
      </c>
      <c r="G156" s="6" t="s">
        <v>205</v>
      </c>
      <c r="H156" s="6"/>
      <c r="I156" s="6"/>
      <c r="J156" s="6"/>
      <c r="K156" s="6"/>
    </row>
    <row r="157" spans="1:11">
      <c r="A157" s="6" t="s">
        <v>693</v>
      </c>
      <c r="B157" s="6" t="s">
        <v>694</v>
      </c>
      <c r="C157" s="6">
        <v>1</v>
      </c>
      <c r="D157" s="6" t="s">
        <v>386</v>
      </c>
      <c r="E157" s="6" t="s">
        <v>45</v>
      </c>
      <c r="F157" s="6">
        <v>-1</v>
      </c>
      <c r="G157" s="6" t="s">
        <v>205</v>
      </c>
      <c r="H157" s="6"/>
      <c r="I157" s="6"/>
      <c r="J157" s="6"/>
      <c r="K157" s="6"/>
    </row>
    <row r="158" spans="1:11">
      <c r="A158" s="6" t="s">
        <v>695</v>
      </c>
      <c r="B158" s="6" t="s">
        <v>694</v>
      </c>
      <c r="C158" s="6">
        <v>1</v>
      </c>
      <c r="D158" s="6" t="s">
        <v>386</v>
      </c>
      <c r="E158" s="6" t="s">
        <v>45</v>
      </c>
      <c r="F158" s="6">
        <v>-1</v>
      </c>
      <c r="G158" s="6" t="s">
        <v>205</v>
      </c>
      <c r="H158" s="6"/>
      <c r="I158" s="6"/>
      <c r="J158" s="6"/>
      <c r="K158" s="6"/>
    </row>
    <row r="159" spans="1:11">
      <c r="A159" s="6" t="s">
        <v>696</v>
      </c>
      <c r="B159" s="6" t="s">
        <v>694</v>
      </c>
      <c r="C159" s="6">
        <v>1</v>
      </c>
      <c r="D159" s="6" t="s">
        <v>386</v>
      </c>
      <c r="E159" s="6" t="s">
        <v>45</v>
      </c>
      <c r="F159" s="6">
        <v>-1</v>
      </c>
      <c r="G159" s="6" t="s">
        <v>205</v>
      </c>
      <c r="H159" s="6"/>
      <c r="I159" s="6"/>
      <c r="J159" s="6"/>
      <c r="K159" s="6"/>
    </row>
    <row r="160" spans="1:11">
      <c r="A160" s="6" t="s">
        <v>214</v>
      </c>
      <c r="B160" s="6" t="s">
        <v>697</v>
      </c>
      <c r="C160" s="6">
        <v>1</v>
      </c>
      <c r="D160" s="6" t="s">
        <v>386</v>
      </c>
      <c r="E160" s="6" t="s">
        <v>45</v>
      </c>
      <c r="F160" s="6">
        <v>-1</v>
      </c>
      <c r="G160" s="6" t="s">
        <v>205</v>
      </c>
      <c r="H160" s="6"/>
      <c r="I160" s="6"/>
      <c r="J160" s="6"/>
      <c r="K160" s="6"/>
    </row>
    <row r="161" spans="1:11">
      <c r="A161" s="6" t="s">
        <v>222</v>
      </c>
      <c r="B161" s="6" t="s">
        <v>697</v>
      </c>
      <c r="C161" s="6">
        <v>1</v>
      </c>
      <c r="D161" s="6" t="s">
        <v>386</v>
      </c>
      <c r="E161" s="6" t="s">
        <v>45</v>
      </c>
      <c r="F161" s="6">
        <v>-1</v>
      </c>
      <c r="G161" s="6" t="s">
        <v>205</v>
      </c>
      <c r="H161" s="6"/>
      <c r="I161" s="6"/>
      <c r="J161" s="6"/>
      <c r="K161" s="6"/>
    </row>
    <row r="162" spans="1:11">
      <c r="A162" s="6" t="s">
        <v>698</v>
      </c>
      <c r="B162" s="6" t="s">
        <v>697</v>
      </c>
      <c r="C162" s="6">
        <v>1</v>
      </c>
      <c r="D162" s="6" t="s">
        <v>386</v>
      </c>
      <c r="E162" s="6" t="s">
        <v>45</v>
      </c>
      <c r="F162" s="6">
        <v>-1</v>
      </c>
      <c r="G162" s="6" t="s">
        <v>205</v>
      </c>
      <c r="H162" s="6"/>
      <c r="I162" s="6"/>
      <c r="J162" s="6"/>
      <c r="K162" s="6"/>
    </row>
    <row r="163" spans="1:11">
      <c r="A163" s="6" t="s">
        <v>217</v>
      </c>
      <c r="B163" s="6" t="s">
        <v>697</v>
      </c>
      <c r="C163" s="6">
        <v>1</v>
      </c>
      <c r="D163" s="6" t="s">
        <v>386</v>
      </c>
      <c r="E163" s="6" t="s">
        <v>218</v>
      </c>
      <c r="F163" s="6">
        <v>-1</v>
      </c>
      <c r="G163" s="6" t="s">
        <v>205</v>
      </c>
      <c r="H163" s="6"/>
      <c r="I163" s="6"/>
      <c r="J163" s="6"/>
      <c r="K163" s="6"/>
    </row>
    <row r="164" spans="1:11">
      <c r="A164" s="6" t="s">
        <v>699</v>
      </c>
      <c r="B164" s="6" t="s">
        <v>700</v>
      </c>
      <c r="C164" s="6">
        <v>1</v>
      </c>
      <c r="D164" s="6" t="s">
        <v>386</v>
      </c>
      <c r="E164" s="6" t="s">
        <v>45</v>
      </c>
      <c r="F164" s="6">
        <v>-1</v>
      </c>
      <c r="G164" s="6" t="s">
        <v>205</v>
      </c>
      <c r="H164" s="6"/>
      <c r="I164" s="6"/>
      <c r="J164" s="6"/>
      <c r="K164" s="6"/>
    </row>
    <row r="165" spans="1:11">
      <c r="A165" s="6" t="s">
        <v>701</v>
      </c>
      <c r="B165" s="6" t="s">
        <v>700</v>
      </c>
      <c r="C165" s="6">
        <v>1</v>
      </c>
      <c r="D165" s="6" t="s">
        <v>386</v>
      </c>
      <c r="E165" s="6" t="s">
        <v>45</v>
      </c>
      <c r="F165" s="6">
        <v>-1</v>
      </c>
      <c r="G165" s="6" t="s">
        <v>205</v>
      </c>
      <c r="H165" s="6"/>
      <c r="I165" s="6"/>
      <c r="J165" s="6"/>
      <c r="K165" s="6"/>
    </row>
    <row r="166" spans="1:11">
      <c r="A166" s="6" t="s">
        <v>702</v>
      </c>
      <c r="B166" s="6" t="s">
        <v>700</v>
      </c>
      <c r="C166" s="6">
        <v>1</v>
      </c>
      <c r="D166" s="6" t="s">
        <v>386</v>
      </c>
      <c r="E166" s="6" t="s">
        <v>45</v>
      </c>
      <c r="F166" s="6">
        <v>-1</v>
      </c>
      <c r="G166" s="6" t="s">
        <v>205</v>
      </c>
      <c r="H166" s="6"/>
      <c r="I166" s="6"/>
      <c r="J166" s="6"/>
      <c r="K166" s="6"/>
    </row>
    <row r="167" spans="1:11">
      <c r="A167" s="6" t="s">
        <v>703</v>
      </c>
      <c r="B167" s="6" t="s">
        <v>700</v>
      </c>
      <c r="C167" s="6">
        <v>1</v>
      </c>
      <c r="D167" s="6" t="s">
        <v>386</v>
      </c>
      <c r="E167" s="6" t="s">
        <v>46</v>
      </c>
      <c r="F167" s="6">
        <v>-1</v>
      </c>
      <c r="G167" s="6" t="s">
        <v>205</v>
      </c>
      <c r="H167" s="6"/>
      <c r="I167" s="6"/>
      <c r="J167" s="6"/>
      <c r="K167" s="6"/>
    </row>
    <row r="168" spans="1:11">
      <c r="A168" s="6" t="s">
        <v>704</v>
      </c>
      <c r="B168" s="6" t="s">
        <v>700</v>
      </c>
      <c r="C168" s="6">
        <v>1</v>
      </c>
      <c r="D168" s="6" t="s">
        <v>386</v>
      </c>
      <c r="E168" s="6" t="s">
        <v>46</v>
      </c>
      <c r="F168" s="6">
        <v>-1</v>
      </c>
      <c r="G168" s="6" t="s">
        <v>205</v>
      </c>
      <c r="H168" s="6"/>
      <c r="I168" s="6"/>
      <c r="J168" s="6"/>
      <c r="K168" s="6"/>
    </row>
    <row r="169" spans="1:11">
      <c r="A169" s="6" t="s">
        <v>705</v>
      </c>
      <c r="B169" s="6" t="s">
        <v>700</v>
      </c>
      <c r="C169" s="6">
        <v>1</v>
      </c>
      <c r="D169" s="6" t="s">
        <v>386</v>
      </c>
      <c r="E169" s="6" t="s">
        <v>46</v>
      </c>
      <c r="F169" s="6">
        <v>-1</v>
      </c>
      <c r="G169" s="6" t="s">
        <v>205</v>
      </c>
      <c r="H169" s="6"/>
      <c r="I169" s="6"/>
      <c r="J169" s="6"/>
      <c r="K169" s="6"/>
    </row>
    <row r="170" spans="1:11">
      <c r="A170" s="6" t="s">
        <v>706</v>
      </c>
      <c r="B170" s="6" t="s">
        <v>700</v>
      </c>
      <c r="C170" s="6">
        <v>1</v>
      </c>
      <c r="D170" s="6" t="s">
        <v>386</v>
      </c>
      <c r="E170" s="6" t="s">
        <v>46</v>
      </c>
      <c r="F170" s="6">
        <v>-1</v>
      </c>
      <c r="G170" s="6" t="s">
        <v>205</v>
      </c>
      <c r="H170" s="6"/>
      <c r="I170" s="6"/>
      <c r="J170" s="6"/>
      <c r="K170" s="6"/>
    </row>
    <row r="171" spans="1:11">
      <c r="A171" s="6" t="s">
        <v>707</v>
      </c>
      <c r="B171" s="6" t="s">
        <v>708</v>
      </c>
      <c r="C171" s="6">
        <v>1</v>
      </c>
      <c r="D171" s="6" t="s">
        <v>386</v>
      </c>
      <c r="E171" s="6" t="s">
        <v>45</v>
      </c>
      <c r="F171" s="6">
        <v>-1</v>
      </c>
      <c r="G171" s="6" t="s">
        <v>205</v>
      </c>
      <c r="H171" s="6"/>
      <c r="I171" s="6"/>
      <c r="J171" s="6"/>
      <c r="K171" s="6"/>
    </row>
    <row r="172" spans="1:11">
      <c r="A172" s="6" t="s">
        <v>709</v>
      </c>
      <c r="B172" s="6" t="s">
        <v>708</v>
      </c>
      <c r="C172" s="6">
        <v>1</v>
      </c>
      <c r="D172" s="6" t="s">
        <v>386</v>
      </c>
      <c r="E172" s="6" t="s">
        <v>45</v>
      </c>
      <c r="F172" s="6">
        <v>-1</v>
      </c>
      <c r="G172" s="6" t="s">
        <v>205</v>
      </c>
      <c r="H172" s="6"/>
      <c r="I172" s="6"/>
      <c r="J172" s="6"/>
      <c r="K172" s="6"/>
    </row>
    <row r="173" spans="1:11">
      <c r="A173" s="6" t="s">
        <v>710</v>
      </c>
      <c r="B173" s="6" t="s">
        <v>708</v>
      </c>
      <c r="C173" s="6">
        <v>1</v>
      </c>
      <c r="D173" s="6" t="s">
        <v>386</v>
      </c>
      <c r="E173" s="6" t="s">
        <v>45</v>
      </c>
      <c r="F173" s="6">
        <v>-1</v>
      </c>
      <c r="G173" s="6" t="s">
        <v>205</v>
      </c>
      <c r="H173" s="6"/>
      <c r="I173" s="6"/>
      <c r="J173" s="6"/>
      <c r="K173" s="6"/>
    </row>
    <row r="174" spans="1:11">
      <c r="A174" s="6" t="s">
        <v>711</v>
      </c>
      <c r="B174" s="6" t="s">
        <v>708</v>
      </c>
      <c r="C174" s="6">
        <v>1</v>
      </c>
      <c r="D174" s="6" t="s">
        <v>386</v>
      </c>
      <c r="E174" s="6" t="s">
        <v>45</v>
      </c>
      <c r="F174" s="6">
        <v>-1</v>
      </c>
      <c r="G174" s="6" t="s">
        <v>205</v>
      </c>
      <c r="H174" s="6"/>
      <c r="I174" s="6"/>
      <c r="J174" s="6"/>
      <c r="K174" s="6"/>
    </row>
    <row r="175" spans="1:11">
      <c r="A175" s="6" t="s">
        <v>712</v>
      </c>
      <c r="B175" s="6" t="s">
        <v>713</v>
      </c>
      <c r="C175" s="6">
        <v>1</v>
      </c>
      <c r="D175" s="6" t="s">
        <v>386</v>
      </c>
      <c r="E175" s="6" t="s">
        <v>45</v>
      </c>
      <c r="F175" s="6">
        <v>-1</v>
      </c>
      <c r="G175" s="6" t="s">
        <v>205</v>
      </c>
      <c r="H175" s="6"/>
      <c r="I175" s="6"/>
      <c r="J175" s="6"/>
      <c r="K175" s="6"/>
    </row>
    <row r="176" spans="1:11">
      <c r="A176" s="6" t="s">
        <v>714</v>
      </c>
      <c r="B176" s="6" t="s">
        <v>713</v>
      </c>
      <c r="C176" s="6">
        <v>1</v>
      </c>
      <c r="D176" s="6" t="s">
        <v>386</v>
      </c>
      <c r="E176" s="6" t="s">
        <v>45</v>
      </c>
      <c r="F176" s="6">
        <v>-1</v>
      </c>
      <c r="G176" s="6" t="s">
        <v>205</v>
      </c>
      <c r="H176" s="6"/>
      <c r="I176" s="6"/>
      <c r="J176" s="6"/>
      <c r="K176" s="6"/>
    </row>
    <row r="177" spans="1:11">
      <c r="A177" s="6" t="s">
        <v>715</v>
      </c>
      <c r="B177" s="6" t="s">
        <v>713</v>
      </c>
      <c r="C177" s="6">
        <v>1</v>
      </c>
      <c r="D177" s="6" t="s">
        <v>386</v>
      </c>
      <c r="E177" s="6" t="s">
        <v>45</v>
      </c>
      <c r="F177" s="6">
        <v>-1</v>
      </c>
      <c r="G177" s="6" t="s">
        <v>205</v>
      </c>
      <c r="H177" s="6"/>
      <c r="I177" s="6"/>
      <c r="J177" s="6"/>
      <c r="K177" s="6"/>
    </row>
    <row r="178" spans="1:11">
      <c r="A178" s="6" t="s">
        <v>716</v>
      </c>
      <c r="B178" s="6" t="s">
        <v>713</v>
      </c>
      <c r="C178" s="6">
        <v>1</v>
      </c>
      <c r="D178" s="6" t="s">
        <v>386</v>
      </c>
      <c r="E178" s="6" t="s">
        <v>45</v>
      </c>
      <c r="F178" s="6">
        <v>-1</v>
      </c>
      <c r="G178" s="6" t="s">
        <v>205</v>
      </c>
      <c r="H178" s="6"/>
      <c r="I178" s="6"/>
      <c r="J178" s="6"/>
      <c r="K178" s="6"/>
    </row>
    <row r="179" spans="1:11">
      <c r="A179" s="6" t="s">
        <v>717</v>
      </c>
      <c r="B179" s="6" t="s">
        <v>713</v>
      </c>
      <c r="C179" s="6">
        <v>1</v>
      </c>
      <c r="D179" s="6" t="s">
        <v>386</v>
      </c>
      <c r="E179" s="6" t="s">
        <v>45</v>
      </c>
      <c r="F179" s="6">
        <v>-1</v>
      </c>
      <c r="G179" s="6" t="s">
        <v>205</v>
      </c>
      <c r="H179" s="6"/>
      <c r="I179" s="6"/>
      <c r="J179" s="6"/>
      <c r="K179" s="6"/>
    </row>
    <row r="180" spans="1:11">
      <c r="A180" s="6" t="s">
        <v>718</v>
      </c>
      <c r="B180" s="6" t="s">
        <v>713</v>
      </c>
      <c r="C180" s="6">
        <v>1</v>
      </c>
      <c r="D180" s="6" t="s">
        <v>386</v>
      </c>
      <c r="E180" s="6" t="s">
        <v>45</v>
      </c>
      <c r="F180" s="6">
        <v>-1</v>
      </c>
      <c r="G180" s="6" t="s">
        <v>205</v>
      </c>
      <c r="H180" s="6"/>
      <c r="I180" s="6"/>
      <c r="J180" s="6"/>
      <c r="K180" s="6"/>
    </row>
    <row r="181" spans="1:11">
      <c r="A181" s="6" t="s">
        <v>719</v>
      </c>
      <c r="B181" s="6" t="s">
        <v>713</v>
      </c>
      <c r="C181" s="6">
        <v>1</v>
      </c>
      <c r="D181" s="6" t="s">
        <v>386</v>
      </c>
      <c r="E181" s="6" t="s">
        <v>45</v>
      </c>
      <c r="F181" s="6">
        <v>-1</v>
      </c>
      <c r="G181" s="6" t="s">
        <v>205</v>
      </c>
      <c r="H181" s="6"/>
      <c r="I181" s="6"/>
      <c r="J181" s="6"/>
      <c r="K181" s="6"/>
    </row>
    <row r="182" spans="1:11">
      <c r="A182" s="6" t="s">
        <v>682</v>
      </c>
      <c r="B182" s="6" t="s">
        <v>720</v>
      </c>
      <c r="C182" s="6">
        <v>1</v>
      </c>
      <c r="D182" s="6" t="s">
        <v>386</v>
      </c>
      <c r="E182" s="6" t="s">
        <v>721</v>
      </c>
      <c r="F182" s="6">
        <v>-1</v>
      </c>
      <c r="G182" s="6" t="s">
        <v>205</v>
      </c>
      <c r="H182" s="6"/>
      <c r="I182" s="6"/>
      <c r="J182" s="6"/>
      <c r="K182" s="6"/>
    </row>
    <row r="183" spans="1:7">
      <c r="A183" s="6" t="s">
        <v>688</v>
      </c>
      <c r="B183" s="6" t="s">
        <v>720</v>
      </c>
      <c r="C183" s="6">
        <v>1</v>
      </c>
      <c r="D183" s="6" t="s">
        <v>386</v>
      </c>
      <c r="E183" s="6" t="s">
        <v>722</v>
      </c>
      <c r="F183" s="6">
        <v>-1</v>
      </c>
      <c r="G183" s="6" t="s">
        <v>205</v>
      </c>
    </row>
    <row r="184" spans="1:7">
      <c r="A184" s="6" t="s">
        <v>694</v>
      </c>
      <c r="B184" s="6" t="s">
        <v>720</v>
      </c>
      <c r="C184" s="6">
        <v>1</v>
      </c>
      <c r="D184" s="6" t="s">
        <v>386</v>
      </c>
      <c r="E184" s="6" t="s">
        <v>723</v>
      </c>
      <c r="F184" s="6">
        <v>-1</v>
      </c>
      <c r="G184" s="6" t="s">
        <v>205</v>
      </c>
    </row>
    <row r="185" spans="1:7">
      <c r="A185" s="6" t="s">
        <v>697</v>
      </c>
      <c r="B185" s="6" t="s">
        <v>720</v>
      </c>
      <c r="C185" s="6">
        <v>1</v>
      </c>
      <c r="D185" s="6" t="s">
        <v>386</v>
      </c>
      <c r="E185" s="6" t="s">
        <v>724</v>
      </c>
      <c r="F185" s="6">
        <v>-1</v>
      </c>
      <c r="G185" s="6" t="s">
        <v>205</v>
      </c>
    </row>
    <row r="186" spans="1:7">
      <c r="A186" s="6" t="s">
        <v>700</v>
      </c>
      <c r="B186" s="6" t="s">
        <v>720</v>
      </c>
      <c r="C186" s="6">
        <v>1</v>
      </c>
      <c r="D186" s="6" t="s">
        <v>386</v>
      </c>
      <c r="E186" s="6" t="s">
        <v>725</v>
      </c>
      <c r="F186" s="6">
        <v>-1</v>
      </c>
      <c r="G186" s="6" t="s">
        <v>205</v>
      </c>
    </row>
    <row r="187" spans="1:7">
      <c r="A187" s="6" t="s">
        <v>708</v>
      </c>
      <c r="B187" s="6" t="s">
        <v>720</v>
      </c>
      <c r="C187" s="6">
        <v>1</v>
      </c>
      <c r="D187" s="6" t="s">
        <v>386</v>
      </c>
      <c r="E187" s="6" t="s">
        <v>598</v>
      </c>
      <c r="F187" s="6">
        <v>-1</v>
      </c>
      <c r="G187" s="6" t="s">
        <v>205</v>
      </c>
    </row>
    <row r="188" spans="1:7">
      <c r="A188" s="6" t="s">
        <v>713</v>
      </c>
      <c r="B188" s="6" t="s">
        <v>720</v>
      </c>
      <c r="C188" s="6">
        <v>1</v>
      </c>
      <c r="D188" s="6" t="s">
        <v>386</v>
      </c>
      <c r="E188" s="6" t="s">
        <v>726</v>
      </c>
      <c r="F188" s="6">
        <v>-1</v>
      </c>
      <c r="G188" s="6" t="s">
        <v>205</v>
      </c>
    </row>
    <row r="189" spans="1:7">
      <c r="A189" s="6" t="s">
        <v>727</v>
      </c>
      <c r="B189" s="6" t="s">
        <v>728</v>
      </c>
      <c r="C189" s="6">
        <v>1</v>
      </c>
      <c r="D189" s="6" t="s">
        <v>386</v>
      </c>
      <c r="E189" s="6" t="s">
        <v>45</v>
      </c>
      <c r="F189" s="6">
        <v>-1</v>
      </c>
      <c r="G189" s="6" t="s">
        <v>205</v>
      </c>
    </row>
    <row r="190" spans="1:7">
      <c r="A190" s="6" t="s">
        <v>729</v>
      </c>
      <c r="B190" s="6" t="s">
        <v>728</v>
      </c>
      <c r="C190" s="6">
        <v>1</v>
      </c>
      <c r="D190" s="6" t="s">
        <v>386</v>
      </c>
      <c r="E190" s="6" t="s">
        <v>45</v>
      </c>
      <c r="F190" s="6">
        <v>-1</v>
      </c>
      <c r="G190" s="6" t="s">
        <v>205</v>
      </c>
    </row>
    <row r="191" spans="1:7">
      <c r="A191" s="6" t="s">
        <v>730</v>
      </c>
      <c r="B191" s="6" t="s">
        <v>728</v>
      </c>
      <c r="C191" s="6">
        <v>1</v>
      </c>
      <c r="D191" s="6" t="s">
        <v>386</v>
      </c>
      <c r="E191" s="6" t="s">
        <v>45</v>
      </c>
      <c r="F191" s="6">
        <v>-1</v>
      </c>
      <c r="G191" s="6" t="s">
        <v>205</v>
      </c>
    </row>
    <row r="192" spans="1:7">
      <c r="A192" s="6" t="s">
        <v>731</v>
      </c>
      <c r="B192" s="6" t="s">
        <v>728</v>
      </c>
      <c r="C192" s="6">
        <v>1</v>
      </c>
      <c r="D192" s="6" t="s">
        <v>386</v>
      </c>
      <c r="E192" s="6" t="s">
        <v>45</v>
      </c>
      <c r="F192" s="6">
        <v>-1</v>
      </c>
      <c r="G192" s="6" t="s">
        <v>205</v>
      </c>
    </row>
    <row r="193" spans="1:7">
      <c r="A193" s="6" t="s">
        <v>732</v>
      </c>
      <c r="B193" s="6" t="s">
        <v>728</v>
      </c>
      <c r="C193" s="6">
        <v>1</v>
      </c>
      <c r="D193" s="6" t="s">
        <v>386</v>
      </c>
      <c r="E193" s="6" t="s">
        <v>45</v>
      </c>
      <c r="F193" s="6">
        <v>-1</v>
      </c>
      <c r="G193" s="6" t="s">
        <v>205</v>
      </c>
    </row>
    <row r="194" ht="13" customHeight="1" spans="1:7">
      <c r="A194" s="6" t="s">
        <v>733</v>
      </c>
      <c r="B194" s="6" t="s">
        <v>728</v>
      </c>
      <c r="C194" s="6">
        <v>1</v>
      </c>
      <c r="D194" s="6" t="s">
        <v>386</v>
      </c>
      <c r="E194" s="6" t="s">
        <v>45</v>
      </c>
      <c r="F194" s="6">
        <v>-1</v>
      </c>
      <c r="G194" s="6" t="s">
        <v>205</v>
      </c>
    </row>
    <row r="195" ht="13" customHeight="1" spans="1:7">
      <c r="A195" s="6" t="s">
        <v>734</v>
      </c>
      <c r="B195" s="6" t="s">
        <v>728</v>
      </c>
      <c r="C195" s="6">
        <v>1</v>
      </c>
      <c r="D195" s="6" t="s">
        <v>386</v>
      </c>
      <c r="E195" s="6" t="s">
        <v>41</v>
      </c>
      <c r="F195" s="6">
        <v>-1</v>
      </c>
      <c r="G195" s="6" t="s">
        <v>205</v>
      </c>
    </row>
    <row r="196" spans="1:7">
      <c r="A196" s="6" t="s">
        <v>735</v>
      </c>
      <c r="B196" s="6" t="s">
        <v>736</v>
      </c>
      <c r="C196" s="6">
        <v>1</v>
      </c>
      <c r="D196" s="6" t="s">
        <v>386</v>
      </c>
      <c r="E196" s="6" t="s">
        <v>38</v>
      </c>
      <c r="F196" s="6">
        <v>-1</v>
      </c>
      <c r="G196" s="6" t="s">
        <v>205</v>
      </c>
    </row>
    <row r="197" spans="1:7">
      <c r="A197" s="6" t="s">
        <v>737</v>
      </c>
      <c r="B197" s="6" t="s">
        <v>736</v>
      </c>
      <c r="C197" s="6">
        <v>1</v>
      </c>
      <c r="D197" s="6" t="s">
        <v>386</v>
      </c>
      <c r="E197" s="6" t="s">
        <v>42</v>
      </c>
      <c r="F197" s="6">
        <v>-1</v>
      </c>
      <c r="G197" s="6" t="s">
        <v>205</v>
      </c>
    </row>
    <row r="198" spans="1:7">
      <c r="A198" s="6" t="s">
        <v>738</v>
      </c>
      <c r="B198" s="6" t="s">
        <v>736</v>
      </c>
      <c r="C198" s="6">
        <v>1</v>
      </c>
      <c r="D198" s="6" t="s">
        <v>386</v>
      </c>
      <c r="E198" s="6" t="s">
        <v>42</v>
      </c>
      <c r="F198" s="6">
        <v>-1</v>
      </c>
      <c r="G198" s="6" t="s">
        <v>205</v>
      </c>
    </row>
    <row r="199" spans="1:7">
      <c r="A199" s="6" t="s">
        <v>739</v>
      </c>
      <c r="B199" s="6" t="s">
        <v>736</v>
      </c>
      <c r="C199" s="6">
        <v>1</v>
      </c>
      <c r="D199" s="6" t="s">
        <v>386</v>
      </c>
      <c r="E199" s="6" t="s">
        <v>45</v>
      </c>
      <c r="F199" s="6">
        <v>-1</v>
      </c>
      <c r="G199" s="6" t="s">
        <v>205</v>
      </c>
    </row>
    <row r="200" spans="1:7">
      <c r="A200" s="6" t="s">
        <v>740</v>
      </c>
      <c r="B200" s="6" t="s">
        <v>736</v>
      </c>
      <c r="C200" s="6">
        <v>1</v>
      </c>
      <c r="D200" s="6" t="s">
        <v>386</v>
      </c>
      <c r="E200" s="6" t="s">
        <v>45</v>
      </c>
      <c r="F200" s="6">
        <v>-1</v>
      </c>
      <c r="G200" s="6" t="s">
        <v>205</v>
      </c>
    </row>
    <row r="201" spans="1:7">
      <c r="A201" s="6" t="s">
        <v>741</v>
      </c>
      <c r="B201" s="6" t="s">
        <v>736</v>
      </c>
      <c r="C201" s="6">
        <v>1</v>
      </c>
      <c r="D201" s="6" t="s">
        <v>386</v>
      </c>
      <c r="E201" s="6" t="s">
        <v>45</v>
      </c>
      <c r="F201" s="6">
        <v>-1</v>
      </c>
      <c r="G201" s="6" t="s">
        <v>205</v>
      </c>
    </row>
    <row r="202" spans="1:7">
      <c r="A202" s="6" t="s">
        <v>742</v>
      </c>
      <c r="B202" s="6" t="s">
        <v>736</v>
      </c>
      <c r="C202" s="6">
        <v>1</v>
      </c>
      <c r="D202" s="6" t="s">
        <v>386</v>
      </c>
      <c r="E202" s="6" t="s">
        <v>45</v>
      </c>
      <c r="F202" s="6">
        <v>-1</v>
      </c>
      <c r="G202" s="6" t="s">
        <v>205</v>
      </c>
    </row>
    <row r="203" spans="1:7">
      <c r="A203" s="6" t="s">
        <v>743</v>
      </c>
      <c r="B203" s="6" t="s">
        <v>744</v>
      </c>
      <c r="C203" s="6">
        <v>1</v>
      </c>
      <c r="D203" s="6" t="s">
        <v>386</v>
      </c>
      <c r="E203" s="6" t="s">
        <v>38</v>
      </c>
      <c r="F203" s="6">
        <v>-1</v>
      </c>
      <c r="G203" s="6" t="s">
        <v>205</v>
      </c>
    </row>
    <row r="204" spans="1:7">
      <c r="A204" s="6" t="s">
        <v>745</v>
      </c>
      <c r="B204" s="6" t="s">
        <v>744</v>
      </c>
      <c r="C204" s="6">
        <v>1</v>
      </c>
      <c r="D204" s="6" t="s">
        <v>386</v>
      </c>
      <c r="E204" s="6" t="s">
        <v>42</v>
      </c>
      <c r="F204" s="6">
        <v>-1</v>
      </c>
      <c r="G204" s="6" t="s">
        <v>205</v>
      </c>
    </row>
    <row r="205" spans="1:7">
      <c r="A205" s="6" t="s">
        <v>746</v>
      </c>
      <c r="B205" s="6" t="s">
        <v>744</v>
      </c>
      <c r="C205" s="6">
        <v>1</v>
      </c>
      <c r="D205" s="6" t="s">
        <v>386</v>
      </c>
      <c r="E205" s="6" t="s">
        <v>45</v>
      </c>
      <c r="F205" s="6">
        <v>-1</v>
      </c>
      <c r="G205" s="6" t="s">
        <v>205</v>
      </c>
    </row>
    <row r="206" spans="1:7">
      <c r="A206" s="6" t="s">
        <v>747</v>
      </c>
      <c r="B206" s="6" t="s">
        <v>744</v>
      </c>
      <c r="C206" s="6">
        <v>1</v>
      </c>
      <c r="D206" s="6" t="s">
        <v>386</v>
      </c>
      <c r="E206" s="6" t="s">
        <v>42</v>
      </c>
      <c r="F206" s="6">
        <v>-1</v>
      </c>
      <c r="G206" s="6" t="s">
        <v>205</v>
      </c>
    </row>
    <row r="207" spans="1:7">
      <c r="A207" s="6" t="s">
        <v>748</v>
      </c>
      <c r="B207" s="6" t="s">
        <v>744</v>
      </c>
      <c r="C207" s="6">
        <v>1</v>
      </c>
      <c r="D207" s="6" t="s">
        <v>386</v>
      </c>
      <c r="E207" s="6" t="s">
        <v>45</v>
      </c>
      <c r="F207" s="6">
        <v>-1</v>
      </c>
      <c r="G207" s="6" t="s">
        <v>205</v>
      </c>
    </row>
    <row r="208" spans="1:7">
      <c r="A208" s="6" t="s">
        <v>749</v>
      </c>
      <c r="B208" s="6" t="s">
        <v>750</v>
      </c>
      <c r="C208" s="6">
        <v>1</v>
      </c>
      <c r="D208" s="6" t="s">
        <v>386</v>
      </c>
      <c r="E208" s="6" t="s">
        <v>45</v>
      </c>
      <c r="F208" s="6">
        <v>-1</v>
      </c>
      <c r="G208" s="6" t="s">
        <v>205</v>
      </c>
    </row>
    <row r="209" spans="1:7">
      <c r="A209" s="6" t="s">
        <v>751</v>
      </c>
      <c r="B209" s="6" t="s">
        <v>750</v>
      </c>
      <c r="C209" s="6">
        <v>1</v>
      </c>
      <c r="D209" s="6" t="s">
        <v>386</v>
      </c>
      <c r="E209" s="6" t="s">
        <v>45</v>
      </c>
      <c r="F209" s="6">
        <v>-1</v>
      </c>
      <c r="G209" s="6" t="s">
        <v>205</v>
      </c>
    </row>
    <row r="210" spans="1:7">
      <c r="A210" s="6" t="s">
        <v>752</v>
      </c>
      <c r="B210" s="6" t="s">
        <v>750</v>
      </c>
      <c r="C210" s="6">
        <v>1</v>
      </c>
      <c r="D210" s="6" t="s">
        <v>386</v>
      </c>
      <c r="E210" s="6" t="s">
        <v>45</v>
      </c>
      <c r="F210" s="6">
        <v>-1</v>
      </c>
      <c r="G210" s="6" t="s">
        <v>205</v>
      </c>
    </row>
    <row r="211" spans="1:7">
      <c r="A211" s="6" t="s">
        <v>744</v>
      </c>
      <c r="B211" s="6" t="s">
        <v>753</v>
      </c>
      <c r="C211" s="6">
        <v>1</v>
      </c>
      <c r="D211" s="6" t="s">
        <v>386</v>
      </c>
      <c r="E211" s="6" t="s">
        <v>754</v>
      </c>
      <c r="F211" s="6">
        <v>-1</v>
      </c>
      <c r="G211" s="6" t="s">
        <v>205</v>
      </c>
    </row>
    <row r="212" spans="1:7">
      <c r="A212" s="6" t="s">
        <v>750</v>
      </c>
      <c r="B212" s="6" t="s">
        <v>753</v>
      </c>
      <c r="C212" s="6">
        <v>1</v>
      </c>
      <c r="D212" s="6" t="s">
        <v>386</v>
      </c>
      <c r="E212" s="6" t="s">
        <v>755</v>
      </c>
      <c r="F212" s="6">
        <v>-1</v>
      </c>
      <c r="G212" s="6" t="s">
        <v>205</v>
      </c>
    </row>
    <row r="213" spans="1:7">
      <c r="A213" s="6" t="s">
        <v>756</v>
      </c>
      <c r="B213" s="6" t="s">
        <v>753</v>
      </c>
      <c r="C213" s="6">
        <v>1</v>
      </c>
      <c r="D213" s="6" t="s">
        <v>386</v>
      </c>
      <c r="E213" s="6" t="s">
        <v>46</v>
      </c>
      <c r="F213" s="6">
        <v>-1</v>
      </c>
      <c r="G213" s="6" t="s">
        <v>205</v>
      </c>
    </row>
    <row r="214" customFormat="1" spans="1:11">
      <c r="A214" s="6" t="s">
        <v>757</v>
      </c>
      <c r="B214" s="6" t="s">
        <v>753</v>
      </c>
      <c r="C214" s="6">
        <v>1</v>
      </c>
      <c r="D214" s="6" t="s">
        <v>386</v>
      </c>
      <c r="E214" s="6" t="s">
        <v>45</v>
      </c>
      <c r="F214" s="6">
        <v>-1</v>
      </c>
      <c r="G214" s="6" t="s">
        <v>205</v>
      </c>
      <c r="H214" s="7"/>
      <c r="I214" s="7"/>
      <c r="J214" s="7"/>
      <c r="K214" s="7"/>
    </row>
    <row r="215" spans="1:7">
      <c r="A215" s="6" t="s">
        <v>728</v>
      </c>
      <c r="B215" s="6" t="s">
        <v>758</v>
      </c>
      <c r="C215" s="6">
        <v>1</v>
      </c>
      <c r="D215" s="6" t="s">
        <v>386</v>
      </c>
      <c r="E215" s="6" t="s">
        <v>759</v>
      </c>
      <c r="F215" s="6">
        <v>-1</v>
      </c>
      <c r="G215" s="6" t="s">
        <v>205</v>
      </c>
    </row>
    <row r="216" spans="1:7">
      <c r="A216" s="6" t="s">
        <v>736</v>
      </c>
      <c r="B216" s="6" t="s">
        <v>758</v>
      </c>
      <c r="C216" s="6">
        <v>1</v>
      </c>
      <c r="D216" s="6" t="s">
        <v>386</v>
      </c>
      <c r="E216" s="6" t="s">
        <v>760</v>
      </c>
      <c r="F216" s="6">
        <v>-1</v>
      </c>
      <c r="G216" s="6" t="s">
        <v>205</v>
      </c>
    </row>
    <row r="217" spans="1:7">
      <c r="A217" s="6" t="s">
        <v>753</v>
      </c>
      <c r="B217" s="6" t="s">
        <v>758</v>
      </c>
      <c r="C217" s="6">
        <v>1</v>
      </c>
      <c r="D217" s="6" t="s">
        <v>386</v>
      </c>
      <c r="E217" s="6" t="s">
        <v>761</v>
      </c>
      <c r="F217" s="6">
        <v>-1</v>
      </c>
      <c r="G217" s="6" t="s">
        <v>205</v>
      </c>
    </row>
    <row r="218" spans="1:7">
      <c r="A218" s="6" t="s">
        <v>762</v>
      </c>
      <c r="B218" s="6" t="s">
        <v>763</v>
      </c>
      <c r="C218" s="6">
        <v>1</v>
      </c>
      <c r="D218" s="6" t="s">
        <v>386</v>
      </c>
      <c r="E218" s="6" t="s">
        <v>41</v>
      </c>
      <c r="F218" s="6">
        <v>-1</v>
      </c>
      <c r="G218" s="6" t="s">
        <v>205</v>
      </c>
    </row>
    <row r="219" spans="1:7">
      <c r="A219" s="6" t="s">
        <v>764</v>
      </c>
      <c r="B219" s="6" t="s">
        <v>763</v>
      </c>
      <c r="C219" s="6">
        <v>1</v>
      </c>
      <c r="D219" s="6" t="s">
        <v>386</v>
      </c>
      <c r="E219" s="6" t="s">
        <v>41</v>
      </c>
      <c r="F219" s="6">
        <v>-1</v>
      </c>
      <c r="G219" s="6" t="s">
        <v>205</v>
      </c>
    </row>
    <row r="220" spans="1:7">
      <c r="A220" s="6" t="s">
        <v>765</v>
      </c>
      <c r="B220" s="6" t="s">
        <v>763</v>
      </c>
      <c r="C220" s="6">
        <v>1</v>
      </c>
      <c r="D220" s="6" t="s">
        <v>386</v>
      </c>
      <c r="E220" s="6" t="s">
        <v>41</v>
      </c>
      <c r="F220" s="6">
        <v>-1</v>
      </c>
      <c r="G220" s="6" t="s">
        <v>205</v>
      </c>
    </row>
    <row r="221" spans="1:7">
      <c r="A221" s="6" t="s">
        <v>766</v>
      </c>
      <c r="B221" s="6" t="s">
        <v>763</v>
      </c>
      <c r="C221" s="6">
        <v>1</v>
      </c>
      <c r="D221" s="6" t="s">
        <v>386</v>
      </c>
      <c r="E221" s="6" t="s">
        <v>42</v>
      </c>
      <c r="F221" s="6">
        <v>-1</v>
      </c>
      <c r="G221" s="6" t="s">
        <v>205</v>
      </c>
    </row>
    <row r="222" spans="1:7">
      <c r="A222" s="6" t="s">
        <v>767</v>
      </c>
      <c r="B222" s="6" t="s">
        <v>763</v>
      </c>
      <c r="C222" s="6">
        <v>1</v>
      </c>
      <c r="D222" s="6" t="s">
        <v>386</v>
      </c>
      <c r="E222" s="6" t="s">
        <v>42</v>
      </c>
      <c r="F222" s="6">
        <v>-1</v>
      </c>
      <c r="G222" s="6" t="s">
        <v>205</v>
      </c>
    </row>
    <row r="223" spans="1:7">
      <c r="A223" s="6" t="s">
        <v>768</v>
      </c>
      <c r="B223" s="6" t="s">
        <v>763</v>
      </c>
      <c r="C223" s="6">
        <v>1</v>
      </c>
      <c r="D223" s="6" t="s">
        <v>386</v>
      </c>
      <c r="E223" s="6" t="s">
        <v>45</v>
      </c>
      <c r="F223" s="6">
        <v>-1</v>
      </c>
      <c r="G223" s="6" t="s">
        <v>205</v>
      </c>
    </row>
    <row r="224" spans="1:7">
      <c r="A224" s="6" t="s">
        <v>769</v>
      </c>
      <c r="B224" s="6" t="s">
        <v>770</v>
      </c>
      <c r="C224" s="6">
        <v>1</v>
      </c>
      <c r="D224" s="6" t="s">
        <v>386</v>
      </c>
      <c r="E224" s="6" t="s">
        <v>45</v>
      </c>
      <c r="F224" s="6">
        <v>-1</v>
      </c>
      <c r="G224" s="6" t="s">
        <v>205</v>
      </c>
    </row>
    <row r="225" spans="1:7">
      <c r="A225" s="6" t="s">
        <v>771</v>
      </c>
      <c r="B225" s="6" t="s">
        <v>770</v>
      </c>
      <c r="C225" s="6">
        <v>1</v>
      </c>
      <c r="D225" s="6" t="s">
        <v>386</v>
      </c>
      <c r="E225" s="6" t="s">
        <v>45</v>
      </c>
      <c r="F225" s="6">
        <v>-1</v>
      </c>
      <c r="G225" s="6" t="s">
        <v>205</v>
      </c>
    </row>
    <row r="226" spans="1:7">
      <c r="A226" s="6" t="s">
        <v>772</v>
      </c>
      <c r="B226" s="6" t="s">
        <v>770</v>
      </c>
      <c r="C226" s="6">
        <v>1</v>
      </c>
      <c r="D226" s="6" t="s">
        <v>386</v>
      </c>
      <c r="E226" s="6" t="s">
        <v>45</v>
      </c>
      <c r="F226" s="6">
        <v>-1</v>
      </c>
      <c r="G226" s="6" t="s">
        <v>205</v>
      </c>
    </row>
    <row r="227" spans="1:7">
      <c r="A227" s="6" t="s">
        <v>773</v>
      </c>
      <c r="B227" s="6" t="s">
        <v>770</v>
      </c>
      <c r="C227" s="6">
        <v>1</v>
      </c>
      <c r="D227" s="6" t="s">
        <v>386</v>
      </c>
      <c r="E227" s="6" t="s">
        <v>45</v>
      </c>
      <c r="F227" s="6">
        <v>-1</v>
      </c>
      <c r="G227" s="6" t="s">
        <v>205</v>
      </c>
    </row>
    <row r="228" spans="1:7">
      <c r="A228" s="6" t="s">
        <v>774</v>
      </c>
      <c r="B228" s="6" t="s">
        <v>775</v>
      </c>
      <c r="C228" s="6">
        <v>1</v>
      </c>
      <c r="D228" s="6" t="s">
        <v>386</v>
      </c>
      <c r="E228" s="6" t="s">
        <v>45</v>
      </c>
      <c r="F228" s="6">
        <v>-1</v>
      </c>
      <c r="G228" s="6" t="s">
        <v>205</v>
      </c>
    </row>
    <row r="229" spans="1:7">
      <c r="A229" s="6" t="s">
        <v>776</v>
      </c>
      <c r="B229" s="6" t="s">
        <v>775</v>
      </c>
      <c r="C229" s="6">
        <v>1</v>
      </c>
      <c r="D229" s="6" t="s">
        <v>386</v>
      </c>
      <c r="E229" s="6" t="s">
        <v>45</v>
      </c>
      <c r="F229" s="6">
        <v>-1</v>
      </c>
      <c r="G229" s="6" t="s">
        <v>205</v>
      </c>
    </row>
    <row r="230" spans="1:7">
      <c r="A230" s="6" t="s">
        <v>777</v>
      </c>
      <c r="B230" s="6" t="s">
        <v>775</v>
      </c>
      <c r="C230" s="6">
        <v>1</v>
      </c>
      <c r="D230" s="6" t="s">
        <v>386</v>
      </c>
      <c r="E230" s="6" t="s">
        <v>45</v>
      </c>
      <c r="F230" s="6">
        <v>-1</v>
      </c>
      <c r="G230" s="6" t="s">
        <v>205</v>
      </c>
    </row>
    <row r="231" spans="1:7">
      <c r="A231" s="6" t="s">
        <v>778</v>
      </c>
      <c r="B231" s="6" t="s">
        <v>775</v>
      </c>
      <c r="C231" s="6">
        <v>1</v>
      </c>
      <c r="D231" s="6" t="s">
        <v>386</v>
      </c>
      <c r="E231" s="6" t="s">
        <v>45</v>
      </c>
      <c r="F231" s="6">
        <v>-1</v>
      </c>
      <c r="G231" s="6" t="s">
        <v>205</v>
      </c>
    </row>
    <row r="232" spans="1:7">
      <c r="A232" s="6" t="s">
        <v>779</v>
      </c>
      <c r="B232" s="6" t="s">
        <v>775</v>
      </c>
      <c r="C232" s="6">
        <v>1</v>
      </c>
      <c r="D232" s="6" t="s">
        <v>386</v>
      </c>
      <c r="E232" s="6" t="s">
        <v>45</v>
      </c>
      <c r="F232" s="6">
        <v>-1</v>
      </c>
      <c r="G232" s="6" t="s">
        <v>205</v>
      </c>
    </row>
    <row r="233" spans="1:7">
      <c r="A233" s="6" t="s">
        <v>780</v>
      </c>
      <c r="B233" s="6" t="s">
        <v>775</v>
      </c>
      <c r="C233" s="6">
        <v>1</v>
      </c>
      <c r="D233" s="6" t="s">
        <v>386</v>
      </c>
      <c r="E233" s="6" t="s">
        <v>45</v>
      </c>
      <c r="F233" s="6">
        <v>-1</v>
      </c>
      <c r="G233" s="6" t="s">
        <v>205</v>
      </c>
    </row>
    <row r="234" spans="1:7">
      <c r="A234" s="6" t="s">
        <v>781</v>
      </c>
      <c r="B234" s="6" t="s">
        <v>775</v>
      </c>
      <c r="C234" s="6">
        <v>1</v>
      </c>
      <c r="D234" s="6" t="s">
        <v>386</v>
      </c>
      <c r="E234" s="6" t="s">
        <v>45</v>
      </c>
      <c r="F234" s="6">
        <v>-1</v>
      </c>
      <c r="G234" s="6" t="s">
        <v>205</v>
      </c>
    </row>
    <row r="235" spans="1:7">
      <c r="A235" s="6" t="s">
        <v>782</v>
      </c>
      <c r="B235" s="6" t="s">
        <v>775</v>
      </c>
      <c r="C235" s="6">
        <v>1</v>
      </c>
      <c r="D235" s="6" t="s">
        <v>386</v>
      </c>
      <c r="E235" s="6" t="s">
        <v>45</v>
      </c>
      <c r="F235" s="6">
        <v>-1</v>
      </c>
      <c r="G235" s="6" t="s">
        <v>205</v>
      </c>
    </row>
    <row r="236" spans="1:7">
      <c r="A236" s="6" t="s">
        <v>783</v>
      </c>
      <c r="B236" s="6" t="s">
        <v>775</v>
      </c>
      <c r="C236" s="6">
        <v>1</v>
      </c>
      <c r="D236" s="6" t="s">
        <v>386</v>
      </c>
      <c r="E236" s="6" t="s">
        <v>45</v>
      </c>
      <c r="F236" s="6">
        <v>-1</v>
      </c>
      <c r="G236" s="6" t="s">
        <v>205</v>
      </c>
    </row>
    <row r="237" spans="1:7">
      <c r="A237" s="6" t="s">
        <v>784</v>
      </c>
      <c r="B237" s="6" t="s">
        <v>785</v>
      </c>
      <c r="C237" s="6">
        <v>1</v>
      </c>
      <c r="D237" s="6" t="s">
        <v>386</v>
      </c>
      <c r="E237" s="6" t="s">
        <v>45</v>
      </c>
      <c r="F237" s="6">
        <v>-1</v>
      </c>
      <c r="G237" s="6" t="s">
        <v>205</v>
      </c>
    </row>
    <row r="238" spans="1:7">
      <c r="A238" s="6" t="s">
        <v>786</v>
      </c>
      <c r="B238" s="6" t="s">
        <v>785</v>
      </c>
      <c r="C238" s="6">
        <v>1</v>
      </c>
      <c r="D238" s="6" t="s">
        <v>386</v>
      </c>
      <c r="E238" s="6" t="s">
        <v>45</v>
      </c>
      <c r="F238" s="6">
        <v>-1</v>
      </c>
      <c r="G238" s="6" t="s">
        <v>205</v>
      </c>
    </row>
    <row r="239" spans="1:7">
      <c r="A239" s="6" t="s">
        <v>787</v>
      </c>
      <c r="B239" s="6" t="s">
        <v>785</v>
      </c>
      <c r="C239" s="6">
        <v>1</v>
      </c>
      <c r="D239" s="6" t="s">
        <v>386</v>
      </c>
      <c r="E239" s="6" t="s">
        <v>45</v>
      </c>
      <c r="F239" s="6">
        <v>-1</v>
      </c>
      <c r="G239" s="6" t="s">
        <v>205</v>
      </c>
    </row>
    <row r="240" spans="1:7">
      <c r="A240" s="6" t="s">
        <v>788</v>
      </c>
      <c r="B240" s="6" t="s">
        <v>789</v>
      </c>
      <c r="C240" s="6">
        <v>1</v>
      </c>
      <c r="D240" s="6" t="s">
        <v>386</v>
      </c>
      <c r="E240" s="6" t="s">
        <v>41</v>
      </c>
      <c r="F240" s="6">
        <v>-1</v>
      </c>
      <c r="G240" s="6" t="s">
        <v>205</v>
      </c>
    </row>
    <row r="241" spans="1:7">
      <c r="A241" s="6" t="s">
        <v>790</v>
      </c>
      <c r="B241" s="6" t="s">
        <v>789</v>
      </c>
      <c r="C241" s="6">
        <v>1</v>
      </c>
      <c r="D241" s="6" t="s">
        <v>386</v>
      </c>
      <c r="E241" s="6" t="s">
        <v>41</v>
      </c>
      <c r="F241" s="6">
        <v>-1</v>
      </c>
      <c r="G241" s="6" t="s">
        <v>205</v>
      </c>
    </row>
    <row r="242" spans="1:7">
      <c r="A242" s="6" t="s">
        <v>791</v>
      </c>
      <c r="B242" s="6" t="s">
        <v>789</v>
      </c>
      <c r="C242" s="6">
        <v>1</v>
      </c>
      <c r="D242" s="6" t="s">
        <v>386</v>
      </c>
      <c r="E242" s="6" t="s">
        <v>41</v>
      </c>
      <c r="F242" s="6">
        <v>-1</v>
      </c>
      <c r="G242" s="6" t="s">
        <v>205</v>
      </c>
    </row>
    <row r="243" spans="1:7">
      <c r="A243" s="6" t="s">
        <v>792</v>
      </c>
      <c r="B243" s="6" t="s">
        <v>789</v>
      </c>
      <c r="C243" s="6">
        <v>1</v>
      </c>
      <c r="D243" s="6" t="s">
        <v>386</v>
      </c>
      <c r="E243" s="6" t="s">
        <v>42</v>
      </c>
      <c r="F243" s="6">
        <v>-1</v>
      </c>
      <c r="G243" s="6" t="s">
        <v>205</v>
      </c>
    </row>
    <row r="244" spans="1:7">
      <c r="A244" s="6" t="s">
        <v>793</v>
      </c>
      <c r="B244" s="6" t="s">
        <v>789</v>
      </c>
      <c r="C244" s="6">
        <v>1</v>
      </c>
      <c r="D244" s="6" t="s">
        <v>386</v>
      </c>
      <c r="E244" s="6" t="s">
        <v>42</v>
      </c>
      <c r="F244" s="6">
        <v>-1</v>
      </c>
      <c r="G244" s="6" t="s">
        <v>205</v>
      </c>
    </row>
    <row r="245" spans="1:7">
      <c r="A245" s="6" t="s">
        <v>794</v>
      </c>
      <c r="B245" s="6" t="s">
        <v>789</v>
      </c>
      <c r="C245" s="6">
        <v>1</v>
      </c>
      <c r="D245" s="6" t="s">
        <v>386</v>
      </c>
      <c r="E245" s="6" t="s">
        <v>45</v>
      </c>
      <c r="F245" s="6">
        <v>-1</v>
      </c>
      <c r="G245" s="6" t="s">
        <v>205</v>
      </c>
    </row>
    <row r="246" spans="1:7">
      <c r="A246" s="6" t="s">
        <v>795</v>
      </c>
      <c r="B246" s="6" t="s">
        <v>796</v>
      </c>
      <c r="C246" s="6">
        <v>1</v>
      </c>
      <c r="D246" s="8" t="s">
        <v>386</v>
      </c>
      <c r="E246" s="6" t="s">
        <v>45</v>
      </c>
      <c r="F246" s="6">
        <v>-1</v>
      </c>
      <c r="G246" s="6" t="s">
        <v>205</v>
      </c>
    </row>
    <row r="247" spans="1:7">
      <c r="A247" s="6" t="s">
        <v>797</v>
      </c>
      <c r="B247" s="6" t="s">
        <v>796</v>
      </c>
      <c r="C247" s="6">
        <v>1</v>
      </c>
      <c r="D247" s="6" t="s">
        <v>386</v>
      </c>
      <c r="E247" s="6" t="s">
        <v>45</v>
      </c>
      <c r="F247" s="6">
        <v>-1</v>
      </c>
      <c r="G247" s="6" t="s">
        <v>205</v>
      </c>
    </row>
    <row r="248" spans="1:7">
      <c r="A248" s="6" t="s">
        <v>785</v>
      </c>
      <c r="B248" s="6" t="s">
        <v>798</v>
      </c>
      <c r="C248" s="6">
        <v>1</v>
      </c>
      <c r="D248" s="6" t="s">
        <v>386</v>
      </c>
      <c r="E248" s="6" t="s">
        <v>799</v>
      </c>
      <c r="F248" s="6">
        <v>-1</v>
      </c>
      <c r="G248" s="6" t="s">
        <v>205</v>
      </c>
    </row>
    <row r="249" spans="1:7">
      <c r="A249" s="6" t="s">
        <v>800</v>
      </c>
      <c r="B249" s="6" t="s">
        <v>798</v>
      </c>
      <c r="C249" s="6">
        <v>1</v>
      </c>
      <c r="D249" s="6" t="s">
        <v>386</v>
      </c>
      <c r="E249" s="6" t="s">
        <v>45</v>
      </c>
      <c r="F249" s="6">
        <v>-1</v>
      </c>
      <c r="G249" s="6" t="s">
        <v>205</v>
      </c>
    </row>
    <row r="250" spans="1:7">
      <c r="A250" s="6" t="s">
        <v>801</v>
      </c>
      <c r="B250" s="6" t="s">
        <v>798</v>
      </c>
      <c r="C250" s="6">
        <v>1</v>
      </c>
      <c r="D250" s="6" t="s">
        <v>386</v>
      </c>
      <c r="E250" s="6" t="s">
        <v>45</v>
      </c>
      <c r="F250" s="6">
        <v>-1</v>
      </c>
      <c r="G250" s="6" t="s">
        <v>205</v>
      </c>
    </row>
    <row r="251" spans="1:7">
      <c r="A251" s="6" t="s">
        <v>802</v>
      </c>
      <c r="B251" s="6" t="s">
        <v>798</v>
      </c>
      <c r="C251" s="6">
        <v>1</v>
      </c>
      <c r="D251" s="6" t="s">
        <v>386</v>
      </c>
      <c r="E251" s="6" t="s">
        <v>45</v>
      </c>
      <c r="F251" s="6">
        <v>-1</v>
      </c>
      <c r="G251" s="6" t="s">
        <v>205</v>
      </c>
    </row>
    <row r="252" spans="1:7">
      <c r="A252" s="6" t="s">
        <v>803</v>
      </c>
      <c r="B252" s="6" t="s">
        <v>798</v>
      </c>
      <c r="C252" s="6">
        <v>1</v>
      </c>
      <c r="D252" s="6" t="s">
        <v>386</v>
      </c>
      <c r="E252" s="6" t="s">
        <v>45</v>
      </c>
      <c r="F252" s="6">
        <v>-1</v>
      </c>
      <c r="G252" s="6" t="s">
        <v>205</v>
      </c>
    </row>
    <row r="253" spans="1:7">
      <c r="A253" s="6" t="s">
        <v>804</v>
      </c>
      <c r="B253" s="6" t="s">
        <v>798</v>
      </c>
      <c r="C253" s="6">
        <v>1</v>
      </c>
      <c r="D253" s="6" t="s">
        <v>386</v>
      </c>
      <c r="E253" s="6" t="s">
        <v>45</v>
      </c>
      <c r="F253" s="6">
        <v>-1</v>
      </c>
      <c r="G253" s="6" t="s">
        <v>205</v>
      </c>
    </row>
    <row r="254" spans="1:7">
      <c r="A254" s="6" t="s">
        <v>805</v>
      </c>
      <c r="B254" s="6" t="s">
        <v>798</v>
      </c>
      <c r="C254" s="6">
        <v>1</v>
      </c>
      <c r="D254" s="6" t="s">
        <v>386</v>
      </c>
      <c r="E254" s="6" t="s">
        <v>45</v>
      </c>
      <c r="F254" s="6">
        <v>-1</v>
      </c>
      <c r="G254" s="6" t="s">
        <v>205</v>
      </c>
    </row>
  </sheetData>
  <autoFilter ref="A1:K254">
    <extLst/>
  </autoFilter>
  <pageMargins left="0.75" right="0.75" top="1" bottom="1" header="0.511805555555556" footer="0.511805555555556"/>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4:L19"/>
  <sheetViews>
    <sheetView zoomScale="115" zoomScaleNormal="115" workbookViewId="0">
      <selection activeCell="I44" sqref="I44"/>
    </sheetView>
  </sheetViews>
  <sheetFormatPr defaultColWidth="9" defaultRowHeight="11.5"/>
  <cols>
    <col min="1" max="1" width="4.87272727272727" style="3" customWidth="1"/>
    <col min="2" max="2" width="10" style="3" customWidth="1"/>
    <col min="3" max="3" width="9.87272727272727" style="3" customWidth="1"/>
    <col min="4" max="4" width="9" style="3" customWidth="1"/>
    <col min="5" max="5" width="9" style="4"/>
    <col min="6" max="6" width="9" style="3"/>
    <col min="7" max="7" width="9" style="4"/>
    <col min="8" max="16384" width="9" style="3"/>
  </cols>
  <sheetData>
    <row r="4" spans="1:7">
      <c r="A4" s="3">
        <v>1</v>
      </c>
      <c r="B4" s="5" t="s">
        <v>806</v>
      </c>
      <c r="C4" s="5" t="s">
        <v>807</v>
      </c>
      <c r="D4" s="5" t="s">
        <v>808</v>
      </c>
      <c r="E4" s="5">
        <v>0</v>
      </c>
      <c r="F4" s="5" t="s">
        <v>466</v>
      </c>
      <c r="G4" s="5">
        <v>8</v>
      </c>
    </row>
    <row r="5" spans="2:7">
      <c r="B5" s="5"/>
      <c r="C5" s="5"/>
      <c r="D5" s="5" t="s">
        <v>809</v>
      </c>
      <c r="E5" s="5">
        <v>1</v>
      </c>
      <c r="F5" s="5" t="s">
        <v>810</v>
      </c>
      <c r="G5" s="5">
        <v>16</v>
      </c>
    </row>
    <row r="6" spans="2:7">
      <c r="B6" s="5"/>
      <c r="C6" s="5"/>
      <c r="D6" s="5"/>
      <c r="E6" s="5"/>
      <c r="F6" s="5" t="s">
        <v>811</v>
      </c>
      <c r="G6" s="5">
        <v>32</v>
      </c>
    </row>
    <row r="9" spans="1:8">
      <c r="A9" s="3">
        <v>2</v>
      </c>
      <c r="B9" s="3" t="s">
        <v>78</v>
      </c>
      <c r="G9" s="4" t="s">
        <v>80</v>
      </c>
      <c r="H9" s="3" t="s">
        <v>81</v>
      </c>
    </row>
    <row r="17" spans="1:12">
      <c r="A17" s="3">
        <v>3</v>
      </c>
      <c r="B17" s="3" t="s">
        <v>204</v>
      </c>
      <c r="D17" s="3" t="s">
        <v>205</v>
      </c>
      <c r="F17" s="4" t="s">
        <v>206</v>
      </c>
      <c r="H17" s="3" t="s">
        <v>206</v>
      </c>
      <c r="L17" s="3" t="s">
        <v>463</v>
      </c>
    </row>
    <row r="18" spans="6:12">
      <c r="F18" s="4" t="s">
        <v>386</v>
      </c>
      <c r="H18" s="3" t="s">
        <v>812</v>
      </c>
      <c r="L18" s="3" t="s">
        <v>208</v>
      </c>
    </row>
    <row r="19" spans="6:12">
      <c r="F19" s="4" t="s">
        <v>813</v>
      </c>
      <c r="H19" s="3" t="s">
        <v>814</v>
      </c>
      <c r="L19" s="3" t="s">
        <v>815</v>
      </c>
    </row>
  </sheetData>
  <pageMargins left="0.699305555555556" right="0.699305555555556" top="0.75" bottom="0.75" header="0.3" footer="0.3"/>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5"/>
  <sheetViews>
    <sheetView zoomScale="160" zoomScaleNormal="160" workbookViewId="0">
      <selection activeCell="C8" sqref="C8"/>
    </sheetView>
  </sheetViews>
  <sheetFormatPr defaultColWidth="9" defaultRowHeight="14" outlineLevelCol="3"/>
  <cols>
    <col min="1" max="1" width="13.1272727272727" customWidth="1"/>
    <col min="2" max="2" width="22.2545454545455" customWidth="1"/>
    <col min="3" max="3" width="38.1272727272727" customWidth="1"/>
  </cols>
  <sheetData>
    <row r="1" spans="1:3">
      <c r="A1" t="s">
        <v>816</v>
      </c>
      <c r="B1" t="s">
        <v>817</v>
      </c>
      <c r="C1" t="s">
        <v>818</v>
      </c>
    </row>
    <row r="2" spans="2:4">
      <c r="B2" t="s">
        <v>819</v>
      </c>
      <c r="C2" t="s">
        <v>820</v>
      </c>
      <c r="D2" t="s">
        <v>821</v>
      </c>
    </row>
    <row r="3" spans="2:4">
      <c r="B3" t="s">
        <v>822</v>
      </c>
      <c r="C3" t="s">
        <v>823</v>
      </c>
      <c r="D3" t="s">
        <v>824</v>
      </c>
    </row>
    <row r="4" spans="2:4">
      <c r="B4" t="s">
        <v>825</v>
      </c>
      <c r="C4" t="s">
        <v>826</v>
      </c>
      <c r="D4" t="s">
        <v>827</v>
      </c>
    </row>
    <row r="5" spans="2:4">
      <c r="B5" t="s">
        <v>828</v>
      </c>
      <c r="C5" t="s">
        <v>829</v>
      </c>
      <c r="D5" t="s">
        <v>830</v>
      </c>
    </row>
    <row r="6" spans="2:4">
      <c r="B6" t="s">
        <v>831</v>
      </c>
      <c r="C6" t="s">
        <v>832</v>
      </c>
      <c r="D6" t="s">
        <v>833</v>
      </c>
    </row>
    <row r="7" spans="2:4">
      <c r="B7" t="s">
        <v>834</v>
      </c>
      <c r="C7" t="s">
        <v>835</v>
      </c>
      <c r="D7" t="s">
        <v>836</v>
      </c>
    </row>
    <row r="8" spans="2:4">
      <c r="B8" t="s">
        <v>837</v>
      </c>
      <c r="C8" t="s">
        <v>838</v>
      </c>
      <c r="D8" t="s">
        <v>839</v>
      </c>
    </row>
    <row r="9" spans="2:4">
      <c r="B9" t="s">
        <v>840</v>
      </c>
      <c r="C9" t="s">
        <v>841</v>
      </c>
      <c r="D9" t="s">
        <v>833</v>
      </c>
    </row>
    <row r="10" spans="1:3">
      <c r="A10" t="s">
        <v>842</v>
      </c>
      <c r="B10" t="s">
        <v>843</v>
      </c>
      <c r="C10" t="s">
        <v>844</v>
      </c>
    </row>
    <row r="11" spans="2:3">
      <c r="B11" t="s">
        <v>845</v>
      </c>
      <c r="C11" t="s">
        <v>846</v>
      </c>
    </row>
    <row r="12" spans="2:3">
      <c r="B12" t="s">
        <v>847</v>
      </c>
      <c r="C12" t="s">
        <v>848</v>
      </c>
    </row>
    <row r="13" spans="2:3">
      <c r="B13" t="s">
        <v>831</v>
      </c>
      <c r="C13" t="s">
        <v>849</v>
      </c>
    </row>
    <row r="14" spans="2:3">
      <c r="B14" t="s">
        <v>850</v>
      </c>
      <c r="C14" t="s">
        <v>851</v>
      </c>
    </row>
    <row r="15" spans="2:3">
      <c r="B15" t="s">
        <v>852</v>
      </c>
      <c r="C15" t="s">
        <v>853</v>
      </c>
    </row>
  </sheetData>
  <pageMargins left="0.699305555555556" right="0.699305555555556" top="0.75" bottom="0.75" header="0.3" footer="0.3"/>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3:AH95"/>
  <sheetViews>
    <sheetView zoomScale="85" zoomScaleNormal="85" topLeftCell="A55" workbookViewId="0">
      <selection activeCell="P103" sqref="P103"/>
    </sheetView>
  </sheetViews>
  <sheetFormatPr defaultColWidth="9" defaultRowHeight="14"/>
  <cols>
    <col min="9" max="9" width="9" customWidth="1"/>
  </cols>
  <sheetData>
    <row r="3" spans="2:2">
      <c r="B3" t="s">
        <v>854</v>
      </c>
    </row>
    <row r="4" spans="3:34">
      <c r="C4">
        <v>0</v>
      </c>
      <c r="D4">
        <v>500</v>
      </c>
      <c r="E4">
        <v>1000</v>
      </c>
      <c r="F4">
        <v>1500</v>
      </c>
      <c r="G4">
        <v>2000</v>
      </c>
      <c r="H4">
        <v>2500</v>
      </c>
      <c r="I4">
        <v>3000</v>
      </c>
      <c r="J4">
        <v>3500</v>
      </c>
      <c r="K4">
        <v>4000</v>
      </c>
      <c r="L4">
        <v>4500</v>
      </c>
      <c r="M4">
        <v>5000</v>
      </c>
      <c r="N4">
        <v>5500</v>
      </c>
      <c r="O4">
        <v>6000</v>
      </c>
      <c r="P4">
        <v>6500</v>
      </c>
      <c r="Q4">
        <v>7000</v>
      </c>
      <c r="R4">
        <v>7500</v>
      </c>
      <c r="S4">
        <v>8000</v>
      </c>
      <c r="T4">
        <v>8500</v>
      </c>
      <c r="U4">
        <v>9000</v>
      </c>
      <c r="V4">
        <v>9500</v>
      </c>
      <c r="W4">
        <v>10000</v>
      </c>
      <c r="X4">
        <v>10500</v>
      </c>
      <c r="Y4">
        <v>11000</v>
      </c>
      <c r="Z4">
        <v>11500</v>
      </c>
      <c r="AA4">
        <v>12000</v>
      </c>
      <c r="AB4">
        <v>12500</v>
      </c>
      <c r="AC4">
        <v>13000</v>
      </c>
      <c r="AD4">
        <v>13500</v>
      </c>
      <c r="AE4">
        <v>14000</v>
      </c>
      <c r="AF4">
        <v>14500</v>
      </c>
      <c r="AG4">
        <v>15000</v>
      </c>
      <c r="AH4">
        <v>18000</v>
      </c>
    </row>
    <row r="5" spans="3:34">
      <c r="C5">
        <v>0.3</v>
      </c>
      <c r="D5">
        <v>0.4</v>
      </c>
      <c r="E5">
        <v>0.494</v>
      </c>
      <c r="F5">
        <v>0.55</v>
      </c>
      <c r="G5">
        <v>0.584</v>
      </c>
      <c r="H5">
        <v>0.608</v>
      </c>
      <c r="I5">
        <v>0.627</v>
      </c>
      <c r="J5">
        <v>0.643</v>
      </c>
      <c r="K5">
        <v>0.658</v>
      </c>
      <c r="L5">
        <v>0.707</v>
      </c>
      <c r="M5">
        <v>0.749</v>
      </c>
      <c r="N5">
        <v>0.785</v>
      </c>
      <c r="O5">
        <v>0.816</v>
      </c>
      <c r="P5">
        <v>0.844</v>
      </c>
      <c r="Q5">
        <v>0.87</v>
      </c>
      <c r="R5">
        <v>0.893</v>
      </c>
      <c r="S5">
        <v>0.932</v>
      </c>
      <c r="T5">
        <v>0.97</v>
      </c>
      <c r="U5">
        <v>0.983</v>
      </c>
      <c r="V5">
        <v>0.993</v>
      </c>
      <c r="W5">
        <v>1.02</v>
      </c>
      <c r="X5">
        <v>1.05</v>
      </c>
      <c r="Y5">
        <v>1.085</v>
      </c>
      <c r="Z5">
        <v>1.16</v>
      </c>
      <c r="AA5">
        <v>1.24</v>
      </c>
      <c r="AB5">
        <v>1.32</v>
      </c>
      <c r="AC5">
        <v>1.4</v>
      </c>
      <c r="AD5">
        <v>1.5</v>
      </c>
      <c r="AE5">
        <v>1.6</v>
      </c>
      <c r="AF5">
        <v>1.75</v>
      </c>
      <c r="AG5">
        <v>1.9</v>
      </c>
      <c r="AH5">
        <v>3</v>
      </c>
    </row>
    <row r="6" spans="2:34">
      <c r="B6" t="s">
        <v>855</v>
      </c>
      <c r="C6">
        <v>0</v>
      </c>
      <c r="D6">
        <v>0.2</v>
      </c>
      <c r="E6">
        <v>0.4</v>
      </c>
      <c r="F6">
        <v>0.6</v>
      </c>
      <c r="G6">
        <v>0.8</v>
      </c>
      <c r="H6">
        <v>1</v>
      </c>
      <c r="I6">
        <v>1.2</v>
      </c>
      <c r="J6">
        <v>1.4</v>
      </c>
      <c r="K6">
        <v>1.6</v>
      </c>
      <c r="L6">
        <v>1.8</v>
      </c>
      <c r="M6">
        <v>2</v>
      </c>
      <c r="N6">
        <v>2.25</v>
      </c>
      <c r="O6">
        <v>2.5</v>
      </c>
      <c r="P6">
        <v>2.75</v>
      </c>
      <c r="Q6">
        <v>3</v>
      </c>
      <c r="R6">
        <v>3.25</v>
      </c>
      <c r="S6">
        <v>3.5</v>
      </c>
      <c r="T6">
        <v>3.75</v>
      </c>
      <c r="U6">
        <v>4</v>
      </c>
      <c r="V6">
        <v>4.25</v>
      </c>
      <c r="W6">
        <v>4.5</v>
      </c>
      <c r="X6">
        <v>4.75</v>
      </c>
      <c r="Y6">
        <v>5</v>
      </c>
      <c r="Z6">
        <v>5.25</v>
      </c>
      <c r="AA6">
        <v>5.5</v>
      </c>
      <c r="AB6">
        <v>5.75</v>
      </c>
      <c r="AC6">
        <v>6</v>
      </c>
      <c r="AD6">
        <v>6.25</v>
      </c>
      <c r="AE6">
        <v>6.5</v>
      </c>
      <c r="AF6">
        <v>6.75</v>
      </c>
      <c r="AG6">
        <v>7</v>
      </c>
      <c r="AH6">
        <v>9.5</v>
      </c>
    </row>
    <row r="7" spans="3:34">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row>
    <row r="37" spans="8:13">
      <c r="H37">
        <v>-100000</v>
      </c>
      <c r="I37">
        <v>-90000</v>
      </c>
      <c r="J37">
        <v>-80000</v>
      </c>
      <c r="K37">
        <v>-70000</v>
      </c>
      <c r="L37">
        <v>-60000</v>
      </c>
      <c r="M37">
        <v>-50000</v>
      </c>
    </row>
    <row r="45" spans="4:13">
      <c r="D45">
        <v>0</v>
      </c>
      <c r="E45">
        <v>2000</v>
      </c>
      <c r="F45">
        <v>4000</v>
      </c>
      <c r="G45">
        <v>6000</v>
      </c>
      <c r="H45">
        <v>8000</v>
      </c>
      <c r="I45">
        <v>10000</v>
      </c>
      <c r="J45">
        <v>12000</v>
      </c>
      <c r="K45">
        <v>14000</v>
      </c>
      <c r="L45">
        <v>16000</v>
      </c>
      <c r="M45">
        <v>18000</v>
      </c>
    </row>
    <row r="46" spans="3:13">
      <c r="C46">
        <v>-180000</v>
      </c>
      <c r="D46">
        <v>0</v>
      </c>
      <c r="E46">
        <v>0</v>
      </c>
      <c r="F46">
        <v>0</v>
      </c>
      <c r="G46">
        <v>0</v>
      </c>
      <c r="H46">
        <v>0</v>
      </c>
      <c r="I46">
        <v>0</v>
      </c>
      <c r="J46">
        <v>0</v>
      </c>
      <c r="K46">
        <v>0</v>
      </c>
      <c r="L46">
        <v>0</v>
      </c>
      <c r="M46">
        <v>0</v>
      </c>
    </row>
    <row r="47" spans="3:13">
      <c r="C47">
        <v>-160000</v>
      </c>
      <c r="D47">
        <v>0</v>
      </c>
      <c r="E47">
        <v>0</v>
      </c>
      <c r="F47">
        <v>0</v>
      </c>
      <c r="G47">
        <v>0</v>
      </c>
      <c r="H47">
        <v>0</v>
      </c>
      <c r="I47">
        <v>0</v>
      </c>
      <c r="J47">
        <v>0</v>
      </c>
      <c r="K47">
        <v>0</v>
      </c>
      <c r="L47">
        <v>0</v>
      </c>
      <c r="M47">
        <v>0</v>
      </c>
    </row>
    <row r="48" spans="3:13">
      <c r="C48">
        <v>-140000</v>
      </c>
      <c r="D48">
        <v>0</v>
      </c>
      <c r="E48">
        <v>0</v>
      </c>
      <c r="F48">
        <v>0</v>
      </c>
      <c r="G48">
        <v>0</v>
      </c>
      <c r="H48">
        <v>0</v>
      </c>
      <c r="I48">
        <v>0</v>
      </c>
      <c r="J48">
        <v>0</v>
      </c>
      <c r="K48">
        <v>0</v>
      </c>
      <c r="L48">
        <v>0</v>
      </c>
      <c r="M48">
        <v>0</v>
      </c>
    </row>
    <row r="49" spans="3:13">
      <c r="C49">
        <v>-120000</v>
      </c>
      <c r="D49">
        <v>0</v>
      </c>
      <c r="E49">
        <v>0</v>
      </c>
      <c r="F49">
        <v>0</v>
      </c>
      <c r="G49">
        <v>0</v>
      </c>
      <c r="H49">
        <v>0</v>
      </c>
      <c r="I49">
        <v>0</v>
      </c>
      <c r="J49">
        <v>0</v>
      </c>
      <c r="K49">
        <v>0</v>
      </c>
      <c r="L49">
        <v>0</v>
      </c>
      <c r="M49">
        <v>0</v>
      </c>
    </row>
    <row r="50" spans="3:13">
      <c r="C50">
        <v>-100000</v>
      </c>
      <c r="D50">
        <v>0</v>
      </c>
      <c r="E50">
        <v>0</v>
      </c>
      <c r="F50">
        <v>0</v>
      </c>
      <c r="G50">
        <v>0</v>
      </c>
      <c r="H50">
        <v>0</v>
      </c>
      <c r="I50">
        <v>0</v>
      </c>
      <c r="J50">
        <v>0</v>
      </c>
      <c r="K50">
        <v>0</v>
      </c>
      <c r="L50">
        <v>0</v>
      </c>
      <c r="M50">
        <v>0</v>
      </c>
    </row>
    <row r="51" spans="3:13">
      <c r="C51">
        <v>-80000</v>
      </c>
      <c r="D51">
        <v>0</v>
      </c>
      <c r="E51">
        <v>0</v>
      </c>
      <c r="F51">
        <v>0</v>
      </c>
      <c r="G51">
        <v>0</v>
      </c>
      <c r="H51">
        <v>0</v>
      </c>
      <c r="I51">
        <v>0</v>
      </c>
      <c r="J51">
        <v>0</v>
      </c>
      <c r="K51">
        <v>0</v>
      </c>
      <c r="L51">
        <v>0</v>
      </c>
      <c r="M51">
        <v>0</v>
      </c>
    </row>
    <row r="52" spans="3:13">
      <c r="C52">
        <v>-60000</v>
      </c>
      <c r="D52">
        <v>0</v>
      </c>
      <c r="E52">
        <v>0</v>
      </c>
      <c r="F52">
        <v>0</v>
      </c>
      <c r="G52">
        <v>0</v>
      </c>
      <c r="H52">
        <v>0</v>
      </c>
      <c r="I52">
        <v>0</v>
      </c>
      <c r="J52">
        <v>0</v>
      </c>
      <c r="K52">
        <v>0</v>
      </c>
      <c r="L52">
        <v>0</v>
      </c>
      <c r="M52">
        <v>0</v>
      </c>
    </row>
    <row r="53" spans="3:13">
      <c r="C53">
        <v>-40000</v>
      </c>
      <c r="D53">
        <v>0</v>
      </c>
      <c r="E53">
        <v>0</v>
      </c>
      <c r="F53">
        <v>0</v>
      </c>
      <c r="G53">
        <v>0</v>
      </c>
      <c r="H53">
        <v>0</v>
      </c>
      <c r="I53">
        <v>0</v>
      </c>
      <c r="J53">
        <v>0</v>
      </c>
      <c r="K53">
        <v>0</v>
      </c>
      <c r="L53">
        <v>0</v>
      </c>
      <c r="M53">
        <v>0</v>
      </c>
    </row>
    <row r="54" spans="3:13">
      <c r="C54">
        <v>-20000</v>
      </c>
      <c r="D54">
        <v>0</v>
      </c>
      <c r="E54">
        <v>0</v>
      </c>
      <c r="F54">
        <v>0</v>
      </c>
      <c r="G54">
        <v>0</v>
      </c>
      <c r="H54">
        <v>0</v>
      </c>
      <c r="I54">
        <v>0</v>
      </c>
      <c r="J54">
        <v>0</v>
      </c>
      <c r="K54">
        <v>0</v>
      </c>
      <c r="L54">
        <v>0</v>
      </c>
      <c r="M54">
        <v>0</v>
      </c>
    </row>
    <row r="55" spans="3:13">
      <c r="C55">
        <v>0</v>
      </c>
      <c r="D55">
        <v>0</v>
      </c>
      <c r="E55">
        <v>0</v>
      </c>
      <c r="F55">
        <v>0</v>
      </c>
      <c r="G55">
        <v>0</v>
      </c>
      <c r="H55">
        <v>0</v>
      </c>
      <c r="I55">
        <v>0</v>
      </c>
      <c r="J55">
        <v>0</v>
      </c>
      <c r="K55">
        <v>0</v>
      </c>
      <c r="L55">
        <v>0</v>
      </c>
      <c r="M55">
        <v>0</v>
      </c>
    </row>
    <row r="56" spans="3:13">
      <c r="C56">
        <v>20000</v>
      </c>
      <c r="D56">
        <v>0</v>
      </c>
      <c r="E56">
        <v>0</v>
      </c>
      <c r="F56">
        <v>0</v>
      </c>
      <c r="G56">
        <v>0</v>
      </c>
      <c r="H56">
        <v>0</v>
      </c>
      <c r="I56">
        <v>0</v>
      </c>
      <c r="J56">
        <v>0</v>
      </c>
      <c r="K56">
        <v>0</v>
      </c>
      <c r="L56">
        <v>0</v>
      </c>
      <c r="M56">
        <v>0</v>
      </c>
    </row>
    <row r="57" spans="3:13">
      <c r="C57">
        <v>40000</v>
      </c>
      <c r="D57">
        <v>0</v>
      </c>
      <c r="E57">
        <v>0</v>
      </c>
      <c r="F57">
        <v>0</v>
      </c>
      <c r="G57">
        <v>0</v>
      </c>
      <c r="H57">
        <v>0</v>
      </c>
      <c r="I57">
        <v>0</v>
      </c>
      <c r="J57">
        <v>0</v>
      </c>
      <c r="K57">
        <v>0</v>
      </c>
      <c r="L57">
        <v>0</v>
      </c>
      <c r="M57">
        <v>0</v>
      </c>
    </row>
    <row r="58" spans="3:13">
      <c r="C58">
        <v>60000</v>
      </c>
      <c r="D58">
        <v>0</v>
      </c>
      <c r="E58">
        <v>0</v>
      </c>
      <c r="F58">
        <v>0</v>
      </c>
      <c r="G58">
        <v>0</v>
      </c>
      <c r="H58">
        <v>0</v>
      </c>
      <c r="I58">
        <v>0</v>
      </c>
      <c r="J58">
        <v>0</v>
      </c>
      <c r="K58">
        <v>0</v>
      </c>
      <c r="L58">
        <v>0</v>
      </c>
      <c r="M58">
        <v>0</v>
      </c>
    </row>
    <row r="59" spans="3:13">
      <c r="C59">
        <v>80000</v>
      </c>
      <c r="D59">
        <v>0</v>
      </c>
      <c r="E59">
        <v>0</v>
      </c>
      <c r="F59">
        <v>0</v>
      </c>
      <c r="G59">
        <v>0</v>
      </c>
      <c r="H59">
        <v>0</v>
      </c>
      <c r="I59">
        <v>0</v>
      </c>
      <c r="J59">
        <v>0</v>
      </c>
      <c r="K59">
        <v>0</v>
      </c>
      <c r="L59">
        <v>0</v>
      </c>
      <c r="M59">
        <v>0</v>
      </c>
    </row>
    <row r="60" spans="3:13">
      <c r="C60">
        <v>100000</v>
      </c>
      <c r="D60">
        <v>0</v>
      </c>
      <c r="E60">
        <v>0</v>
      </c>
      <c r="F60">
        <v>0</v>
      </c>
      <c r="G60">
        <v>0</v>
      </c>
      <c r="H60">
        <v>0</v>
      </c>
      <c r="I60">
        <v>0</v>
      </c>
      <c r="J60">
        <v>0</v>
      </c>
      <c r="K60">
        <v>0</v>
      </c>
      <c r="L60">
        <v>0</v>
      </c>
      <c r="M60">
        <v>0</v>
      </c>
    </row>
    <row r="61" spans="3:13">
      <c r="C61">
        <v>120000</v>
      </c>
      <c r="D61">
        <v>0</v>
      </c>
      <c r="E61">
        <v>0</v>
      </c>
      <c r="F61">
        <v>0</v>
      </c>
      <c r="G61">
        <v>0</v>
      </c>
      <c r="H61">
        <v>0</v>
      </c>
      <c r="I61">
        <v>0</v>
      </c>
      <c r="J61">
        <v>0</v>
      </c>
      <c r="K61">
        <v>0</v>
      </c>
      <c r="L61">
        <v>0</v>
      </c>
      <c r="M61">
        <v>0</v>
      </c>
    </row>
    <row r="62" spans="3:13">
      <c r="C62">
        <v>140000</v>
      </c>
      <c r="D62">
        <v>0</v>
      </c>
      <c r="E62">
        <v>0</v>
      </c>
      <c r="F62">
        <v>0</v>
      </c>
      <c r="G62">
        <v>0</v>
      </c>
      <c r="H62">
        <v>0</v>
      </c>
      <c r="I62">
        <v>0</v>
      </c>
      <c r="J62">
        <v>0</v>
      </c>
      <c r="K62">
        <v>0</v>
      </c>
      <c r="L62">
        <v>0</v>
      </c>
      <c r="M62">
        <v>0</v>
      </c>
    </row>
    <row r="63" spans="3:13">
      <c r="C63">
        <v>160000</v>
      </c>
      <c r="D63">
        <v>0</v>
      </c>
      <c r="E63">
        <v>0</v>
      </c>
      <c r="F63">
        <v>0</v>
      </c>
      <c r="G63">
        <v>0</v>
      </c>
      <c r="H63">
        <v>0</v>
      </c>
      <c r="I63">
        <v>0</v>
      </c>
      <c r="J63">
        <v>0</v>
      </c>
      <c r="K63">
        <v>0</v>
      </c>
      <c r="L63">
        <v>0</v>
      </c>
      <c r="M63">
        <v>0</v>
      </c>
    </row>
    <row r="64" spans="3:13">
      <c r="C64">
        <v>180000</v>
      </c>
      <c r="D64">
        <v>0</v>
      </c>
      <c r="E64">
        <v>0</v>
      </c>
      <c r="F64">
        <v>0</v>
      </c>
      <c r="G64">
        <v>0</v>
      </c>
      <c r="H64">
        <v>0</v>
      </c>
      <c r="I64">
        <v>0</v>
      </c>
      <c r="J64">
        <v>0</v>
      </c>
      <c r="K64">
        <v>0</v>
      </c>
      <c r="L64">
        <v>0</v>
      </c>
      <c r="M64">
        <v>0</v>
      </c>
    </row>
    <row r="69" spans="4:22">
      <c r="D69">
        <v>-180000</v>
      </c>
      <c r="E69">
        <v>-160000</v>
      </c>
      <c r="F69">
        <v>-140000</v>
      </c>
      <c r="G69">
        <v>-120000</v>
      </c>
      <c r="H69">
        <v>-100000</v>
      </c>
      <c r="I69">
        <v>-80000</v>
      </c>
      <c r="J69">
        <v>-60000</v>
      </c>
      <c r="K69">
        <v>-40000</v>
      </c>
      <c r="L69">
        <v>-20000</v>
      </c>
      <c r="M69">
        <v>0</v>
      </c>
      <c r="N69">
        <v>20000</v>
      </c>
      <c r="O69">
        <v>40000</v>
      </c>
      <c r="P69">
        <v>60000</v>
      </c>
      <c r="Q69">
        <v>80000</v>
      </c>
      <c r="R69">
        <v>100000</v>
      </c>
      <c r="S69">
        <v>120000</v>
      </c>
      <c r="T69">
        <v>140000</v>
      </c>
      <c r="U69">
        <v>160000</v>
      </c>
      <c r="V69">
        <v>180000</v>
      </c>
    </row>
    <row r="73" spans="2:2">
      <c r="B73" t="s">
        <v>856</v>
      </c>
    </row>
    <row r="74" spans="3:34">
      <c r="C74">
        <v>0</v>
      </c>
      <c r="D74">
        <v>500</v>
      </c>
      <c r="E74">
        <v>1000</v>
      </c>
      <c r="F74">
        <v>1500</v>
      </c>
      <c r="G74">
        <v>2000</v>
      </c>
      <c r="H74">
        <v>2500</v>
      </c>
      <c r="I74">
        <v>3000</v>
      </c>
      <c r="J74">
        <v>3500</v>
      </c>
      <c r="K74">
        <v>4000</v>
      </c>
      <c r="L74">
        <v>4500</v>
      </c>
      <c r="M74">
        <v>5000</v>
      </c>
      <c r="N74">
        <v>5500</v>
      </c>
      <c r="O74">
        <v>6000</v>
      </c>
      <c r="P74">
        <v>6500</v>
      </c>
      <c r="Q74">
        <v>7000</v>
      </c>
      <c r="R74">
        <v>7500</v>
      </c>
      <c r="S74">
        <v>8000</v>
      </c>
      <c r="T74">
        <v>8500</v>
      </c>
      <c r="U74">
        <v>9000</v>
      </c>
      <c r="V74">
        <v>9500</v>
      </c>
      <c r="W74">
        <v>10000</v>
      </c>
      <c r="X74">
        <v>10500</v>
      </c>
      <c r="Y74">
        <v>11000</v>
      </c>
      <c r="Z74">
        <v>11500</v>
      </c>
      <c r="AA74">
        <v>12000</v>
      </c>
      <c r="AB74">
        <v>12500</v>
      </c>
      <c r="AC74">
        <v>13000</v>
      </c>
      <c r="AD74">
        <v>13500</v>
      </c>
      <c r="AE74">
        <v>14000</v>
      </c>
      <c r="AF74">
        <v>14500</v>
      </c>
      <c r="AG74">
        <v>15000</v>
      </c>
      <c r="AH74">
        <v>18000</v>
      </c>
    </row>
    <row r="75" spans="2:34">
      <c r="B75">
        <v>200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row>
    <row r="76" spans="2:34">
      <c r="B76">
        <v>250</v>
      </c>
      <c r="C76">
        <v>1</v>
      </c>
      <c r="D76">
        <v>1</v>
      </c>
      <c r="E76">
        <v>1</v>
      </c>
      <c r="F76">
        <v>1</v>
      </c>
      <c r="G76">
        <v>1</v>
      </c>
      <c r="H76">
        <v>1</v>
      </c>
      <c r="I76">
        <v>1</v>
      </c>
      <c r="J76">
        <v>1</v>
      </c>
      <c r="K76">
        <v>1</v>
      </c>
      <c r="L76">
        <v>1</v>
      </c>
      <c r="M76">
        <v>1</v>
      </c>
      <c r="N76">
        <v>1</v>
      </c>
      <c r="O76">
        <v>1</v>
      </c>
      <c r="P76">
        <v>1</v>
      </c>
      <c r="Q76">
        <v>1</v>
      </c>
      <c r="R76">
        <v>1</v>
      </c>
      <c r="S76">
        <v>1</v>
      </c>
      <c r="T76">
        <v>1</v>
      </c>
      <c r="U76">
        <v>1</v>
      </c>
      <c r="V76">
        <v>1</v>
      </c>
      <c r="W76">
        <v>1</v>
      </c>
      <c r="X76">
        <v>1</v>
      </c>
      <c r="Y76">
        <v>1</v>
      </c>
      <c r="Z76">
        <v>1</v>
      </c>
      <c r="AA76">
        <v>1</v>
      </c>
      <c r="AB76">
        <v>1</v>
      </c>
      <c r="AC76">
        <v>1</v>
      </c>
      <c r="AD76">
        <v>1</v>
      </c>
      <c r="AE76">
        <v>1</v>
      </c>
      <c r="AF76">
        <v>1</v>
      </c>
      <c r="AG76">
        <v>1</v>
      </c>
      <c r="AH76">
        <v>0</v>
      </c>
    </row>
    <row r="77" spans="2:34">
      <c r="B77">
        <v>400</v>
      </c>
      <c r="C77">
        <v>1</v>
      </c>
      <c r="D77">
        <v>1</v>
      </c>
      <c r="E77">
        <v>1</v>
      </c>
      <c r="F77">
        <v>1</v>
      </c>
      <c r="G77">
        <v>1</v>
      </c>
      <c r="H77">
        <v>1</v>
      </c>
      <c r="I77">
        <v>1</v>
      </c>
      <c r="J77">
        <v>1</v>
      </c>
      <c r="K77">
        <v>1</v>
      </c>
      <c r="L77">
        <v>1</v>
      </c>
      <c r="M77">
        <v>1</v>
      </c>
      <c r="N77">
        <v>1</v>
      </c>
      <c r="O77">
        <v>1</v>
      </c>
      <c r="P77">
        <v>1</v>
      </c>
      <c r="Q77">
        <v>1</v>
      </c>
      <c r="R77">
        <v>1</v>
      </c>
      <c r="S77">
        <v>1</v>
      </c>
      <c r="T77">
        <v>1</v>
      </c>
      <c r="U77">
        <v>1</v>
      </c>
      <c r="V77">
        <v>1</v>
      </c>
      <c r="W77">
        <v>1</v>
      </c>
      <c r="X77">
        <v>1</v>
      </c>
      <c r="Y77">
        <v>1</v>
      </c>
      <c r="Z77">
        <v>1</v>
      </c>
      <c r="AA77">
        <v>1</v>
      </c>
      <c r="AB77">
        <v>1</v>
      </c>
      <c r="AC77">
        <v>1</v>
      </c>
      <c r="AD77">
        <v>1</v>
      </c>
      <c r="AE77">
        <v>1</v>
      </c>
      <c r="AF77">
        <v>1</v>
      </c>
      <c r="AG77">
        <v>1</v>
      </c>
      <c r="AH77">
        <v>0</v>
      </c>
    </row>
    <row r="78" spans="2:34">
      <c r="B78">
        <v>450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v>0</v>
      </c>
      <c r="AH78">
        <v>0</v>
      </c>
    </row>
    <row r="79" spans="2:34">
      <c r="B79">
        <v>600</v>
      </c>
      <c r="C79">
        <v>0</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c r="AE79">
        <v>0</v>
      </c>
      <c r="AF79">
        <v>0</v>
      </c>
      <c r="AG79">
        <v>0</v>
      </c>
      <c r="AH79">
        <v>0</v>
      </c>
    </row>
    <row r="84" spans="2:2">
      <c r="B84" t="s">
        <v>857</v>
      </c>
    </row>
    <row r="86" spans="2:26">
      <c r="B86" s="1" t="s">
        <v>858</v>
      </c>
      <c r="C86" s="1" t="s">
        <v>859</v>
      </c>
      <c r="D86" s="1" t="s">
        <v>860</v>
      </c>
      <c r="E86" s="1" t="s">
        <v>861</v>
      </c>
      <c r="F86">
        <v>0</v>
      </c>
      <c r="G86">
        <v>20</v>
      </c>
      <c r="H86">
        <v>40</v>
      </c>
      <c r="I86">
        <v>60</v>
      </c>
      <c r="J86">
        <v>80</v>
      </c>
      <c r="K86">
        <v>100</v>
      </c>
      <c r="L86">
        <v>120</v>
      </c>
      <c r="M86">
        <v>140</v>
      </c>
      <c r="N86">
        <v>160</v>
      </c>
      <c r="O86">
        <v>180</v>
      </c>
      <c r="P86">
        <v>200</v>
      </c>
      <c r="Q86">
        <v>220</v>
      </c>
      <c r="R86">
        <v>240</v>
      </c>
      <c r="S86">
        <v>260</v>
      </c>
      <c r="T86">
        <v>280</v>
      </c>
      <c r="U86">
        <v>300</v>
      </c>
      <c r="V86">
        <v>320</v>
      </c>
      <c r="W86">
        <v>340</v>
      </c>
      <c r="X86">
        <v>360</v>
      </c>
      <c r="Y86">
        <v>380</v>
      </c>
      <c r="Z86">
        <v>400</v>
      </c>
    </row>
    <row r="87" spans="2:26">
      <c r="B87" s="1">
        <v>200</v>
      </c>
      <c r="C87" s="1">
        <v>13300</v>
      </c>
      <c r="D87" s="1">
        <f t="shared" ref="D87:D94" si="0">B87*1.03/2.45/(C87/60*4*2*PI())</f>
        <v>0.0150924896165093</v>
      </c>
      <c r="E87" s="1">
        <v>0.015</v>
      </c>
      <c r="F87">
        <v>-180</v>
      </c>
      <c r="G87">
        <v>-205</v>
      </c>
      <c r="H87">
        <v>-250</v>
      </c>
      <c r="I87">
        <v>-280</v>
      </c>
      <c r="J87">
        <v>-330</v>
      </c>
      <c r="K87">
        <v>-330</v>
      </c>
      <c r="L87">
        <v>-330</v>
      </c>
      <c r="M87">
        <v>-330</v>
      </c>
      <c r="N87">
        <v>-330</v>
      </c>
      <c r="O87">
        <v>-330</v>
      </c>
      <c r="P87">
        <v>-330</v>
      </c>
      <c r="Q87">
        <v>-330</v>
      </c>
      <c r="R87">
        <v>-330</v>
      </c>
      <c r="S87">
        <v>-330</v>
      </c>
      <c r="T87">
        <v>-330</v>
      </c>
      <c r="U87">
        <v>-330</v>
      </c>
      <c r="V87">
        <v>-330</v>
      </c>
      <c r="W87">
        <v>-330</v>
      </c>
      <c r="X87">
        <v>-330</v>
      </c>
      <c r="Y87">
        <v>-330</v>
      </c>
      <c r="Z87">
        <v>-330</v>
      </c>
    </row>
    <row r="88" spans="2:26">
      <c r="B88" s="1">
        <v>200</v>
      </c>
      <c r="C88" s="1">
        <v>10000</v>
      </c>
      <c r="D88" s="1">
        <f t="shared" si="0"/>
        <v>0.0200730111899574</v>
      </c>
      <c r="E88" s="1">
        <v>0.02</v>
      </c>
      <c r="F88">
        <v>-135</v>
      </c>
      <c r="G88">
        <v>-156</v>
      </c>
      <c r="H88">
        <v>-196</v>
      </c>
      <c r="I88">
        <v>-250</v>
      </c>
      <c r="J88">
        <v>-288</v>
      </c>
      <c r="K88">
        <v>-330</v>
      </c>
      <c r="L88">
        <v>-330</v>
      </c>
      <c r="M88">
        <v>-330</v>
      </c>
      <c r="N88">
        <v>-330</v>
      </c>
      <c r="O88">
        <v>-330</v>
      </c>
      <c r="P88">
        <v>-330</v>
      </c>
      <c r="Q88">
        <v>-330</v>
      </c>
      <c r="R88">
        <v>-330</v>
      </c>
      <c r="S88">
        <v>-330</v>
      </c>
      <c r="T88">
        <v>-330</v>
      </c>
      <c r="U88">
        <v>-330</v>
      </c>
      <c r="V88">
        <v>-330</v>
      </c>
      <c r="W88">
        <v>-330</v>
      </c>
      <c r="X88">
        <v>-330</v>
      </c>
      <c r="Y88">
        <v>-330</v>
      </c>
      <c r="Z88">
        <v>-330</v>
      </c>
    </row>
    <row r="89" spans="2:26">
      <c r="B89" s="1">
        <v>250</v>
      </c>
      <c r="C89" s="1">
        <v>10000</v>
      </c>
      <c r="D89" s="1">
        <f t="shared" si="0"/>
        <v>0.0250912639874468</v>
      </c>
      <c r="E89" s="1">
        <v>0.025</v>
      </c>
      <c r="F89">
        <v>-95</v>
      </c>
      <c r="G89">
        <v>-115</v>
      </c>
      <c r="H89">
        <v>-160</v>
      </c>
      <c r="I89">
        <v>-200</v>
      </c>
      <c r="J89">
        <v>-255</v>
      </c>
      <c r="K89">
        <v>-295</v>
      </c>
      <c r="L89">
        <v>-330</v>
      </c>
      <c r="M89">
        <v>-330</v>
      </c>
      <c r="N89">
        <v>-330</v>
      </c>
      <c r="O89">
        <v>-330</v>
      </c>
      <c r="P89">
        <v>-330</v>
      </c>
      <c r="Q89">
        <v>-330</v>
      </c>
      <c r="R89">
        <v>-330</v>
      </c>
      <c r="S89">
        <v>-330</v>
      </c>
      <c r="T89">
        <v>-330</v>
      </c>
      <c r="U89">
        <v>-330</v>
      </c>
      <c r="V89">
        <v>-330</v>
      </c>
      <c r="W89">
        <v>-330</v>
      </c>
      <c r="X89">
        <v>-330</v>
      </c>
      <c r="Y89">
        <v>-330</v>
      </c>
      <c r="Z89">
        <v>-330</v>
      </c>
    </row>
    <row r="90" spans="2:26">
      <c r="B90" s="1">
        <v>300</v>
      </c>
      <c r="C90" s="1">
        <v>10000</v>
      </c>
      <c r="D90" s="1">
        <f t="shared" si="0"/>
        <v>0.0301095167849361</v>
      </c>
      <c r="E90" s="1">
        <v>0.03</v>
      </c>
      <c r="F90">
        <v>-57</v>
      </c>
      <c r="G90">
        <v>-75</v>
      </c>
      <c r="H90">
        <v>-122</v>
      </c>
      <c r="I90">
        <v>-165</v>
      </c>
      <c r="J90">
        <v>-210</v>
      </c>
      <c r="K90">
        <v>-260</v>
      </c>
      <c r="L90">
        <v>-302</v>
      </c>
      <c r="M90">
        <v>-330</v>
      </c>
      <c r="N90">
        <v>-330</v>
      </c>
      <c r="O90">
        <v>-330</v>
      </c>
      <c r="P90">
        <v>-330</v>
      </c>
      <c r="Q90">
        <v>-330</v>
      </c>
      <c r="R90">
        <v>-330</v>
      </c>
      <c r="S90">
        <v>-330</v>
      </c>
      <c r="T90">
        <v>-330</v>
      </c>
      <c r="U90">
        <v>-330</v>
      </c>
      <c r="V90">
        <v>-330</v>
      </c>
      <c r="W90">
        <v>-330</v>
      </c>
      <c r="X90">
        <v>-330</v>
      </c>
      <c r="Y90">
        <v>-330</v>
      </c>
      <c r="Z90">
        <v>-330</v>
      </c>
    </row>
    <row r="91" spans="2:26">
      <c r="B91" s="1">
        <v>350</v>
      </c>
      <c r="C91" s="1">
        <v>10000</v>
      </c>
      <c r="D91" s="1">
        <f t="shared" si="0"/>
        <v>0.0351277695824255</v>
      </c>
      <c r="E91" s="1">
        <v>0.035</v>
      </c>
      <c r="F91">
        <v>-15</v>
      </c>
      <c r="G91">
        <v>-40</v>
      </c>
      <c r="H91">
        <v>-86</v>
      </c>
      <c r="I91">
        <v>-122</v>
      </c>
      <c r="J91">
        <v>-172</v>
      </c>
      <c r="K91">
        <v>-212</v>
      </c>
      <c r="L91">
        <v>-265</v>
      </c>
      <c r="M91">
        <v>-310</v>
      </c>
      <c r="N91">
        <v>-330</v>
      </c>
      <c r="O91">
        <v>-330</v>
      </c>
      <c r="P91">
        <v>-330</v>
      </c>
      <c r="Q91">
        <v>-330</v>
      </c>
      <c r="R91">
        <v>-330</v>
      </c>
      <c r="S91">
        <v>-330</v>
      </c>
      <c r="T91">
        <v>-330</v>
      </c>
      <c r="U91">
        <v>-330</v>
      </c>
      <c r="V91">
        <v>-330</v>
      </c>
      <c r="W91">
        <v>-330</v>
      </c>
      <c r="X91">
        <v>-330</v>
      </c>
      <c r="Y91">
        <v>-330</v>
      </c>
      <c r="Z91">
        <v>-330</v>
      </c>
    </row>
    <row r="92" spans="2:26">
      <c r="B92" s="1">
        <v>400</v>
      </c>
      <c r="C92" s="1">
        <v>10000</v>
      </c>
      <c r="D92" s="1">
        <f t="shared" si="0"/>
        <v>0.0401460223799148</v>
      </c>
      <c r="E92" s="1">
        <v>0.04</v>
      </c>
      <c r="F92">
        <v>0</v>
      </c>
      <c r="G92">
        <v>-8</v>
      </c>
      <c r="H92">
        <v>-50</v>
      </c>
      <c r="I92">
        <v>-90</v>
      </c>
      <c r="J92">
        <v>-140</v>
      </c>
      <c r="K92">
        <v>-180</v>
      </c>
      <c r="L92">
        <v>-220</v>
      </c>
      <c r="M92">
        <v>-268</v>
      </c>
      <c r="N92">
        <v>-312</v>
      </c>
      <c r="O92">
        <v>-330</v>
      </c>
      <c r="P92">
        <v>-330</v>
      </c>
      <c r="Q92">
        <v>-330</v>
      </c>
      <c r="R92">
        <v>-330</v>
      </c>
      <c r="S92">
        <v>-330</v>
      </c>
      <c r="T92">
        <v>-330</v>
      </c>
      <c r="U92">
        <v>-330</v>
      </c>
      <c r="V92">
        <v>-330</v>
      </c>
      <c r="W92">
        <v>-330</v>
      </c>
      <c r="X92">
        <v>-330</v>
      </c>
      <c r="Y92">
        <v>-330</v>
      </c>
      <c r="Z92">
        <v>-330</v>
      </c>
    </row>
    <row r="93" spans="2:26">
      <c r="B93" s="1">
        <v>400</v>
      </c>
      <c r="C93" s="1">
        <v>6670</v>
      </c>
      <c r="D93" s="1">
        <f t="shared" si="0"/>
        <v>0.0601889391003221</v>
      </c>
      <c r="E93" s="1">
        <v>0.06</v>
      </c>
      <c r="F93">
        <v>0</v>
      </c>
      <c r="G93">
        <v>-5</v>
      </c>
      <c r="H93">
        <v>-28</v>
      </c>
      <c r="I93">
        <v>-45</v>
      </c>
      <c r="J93">
        <v>-70</v>
      </c>
      <c r="K93">
        <v>-85</v>
      </c>
      <c r="L93">
        <v>-105</v>
      </c>
      <c r="M93">
        <v>-125</v>
      </c>
      <c r="N93">
        <v>-160</v>
      </c>
      <c r="O93">
        <v>-195</v>
      </c>
      <c r="P93">
        <v>-235</v>
      </c>
      <c r="Q93">
        <v>-275</v>
      </c>
      <c r="R93">
        <v>-310</v>
      </c>
      <c r="S93">
        <v>-330</v>
      </c>
      <c r="T93">
        <v>-330</v>
      </c>
      <c r="U93">
        <v>-330</v>
      </c>
      <c r="V93">
        <v>-330</v>
      </c>
      <c r="W93">
        <v>-330</v>
      </c>
      <c r="X93">
        <v>-330</v>
      </c>
      <c r="Y93">
        <v>-330</v>
      </c>
      <c r="Z93">
        <v>-330</v>
      </c>
    </row>
    <row r="94" spans="2:26">
      <c r="B94" s="1">
        <v>400</v>
      </c>
      <c r="C94" s="1">
        <v>4460</v>
      </c>
      <c r="D94" s="1">
        <f t="shared" si="0"/>
        <v>0.0900135030939794</v>
      </c>
      <c r="E94" s="1">
        <v>0.09</v>
      </c>
      <c r="F94" s="2">
        <v>0</v>
      </c>
      <c r="G94" s="2">
        <v>-5</v>
      </c>
      <c r="H94" s="2">
        <v>-28</v>
      </c>
      <c r="I94" s="2">
        <v>-45</v>
      </c>
      <c r="J94" s="2">
        <v>-69</v>
      </c>
      <c r="K94" s="2">
        <v>-85</v>
      </c>
      <c r="L94" s="2">
        <v>-105</v>
      </c>
      <c r="M94" s="2">
        <v>-125</v>
      </c>
      <c r="N94" s="2">
        <v>-149</v>
      </c>
      <c r="O94" s="2">
        <v>-173</v>
      </c>
      <c r="P94" s="2">
        <v>-196</v>
      </c>
      <c r="Q94" s="2">
        <v>-209</v>
      </c>
      <c r="R94" s="2">
        <v>-231</v>
      </c>
      <c r="S94" s="2">
        <v>-252</v>
      </c>
      <c r="T94" s="2">
        <v>-273</v>
      </c>
      <c r="U94" s="2">
        <v>-303</v>
      </c>
      <c r="V94">
        <v>-330</v>
      </c>
      <c r="W94">
        <v>-330</v>
      </c>
      <c r="X94">
        <v>-330</v>
      </c>
      <c r="Y94">
        <v>-330</v>
      </c>
      <c r="Z94">
        <v>-330</v>
      </c>
    </row>
    <row r="95" spans="6:26">
      <c r="F95" s="2"/>
      <c r="G95" s="2"/>
      <c r="H95" s="2"/>
      <c r="I95" s="2"/>
      <c r="J95" s="2"/>
      <c r="K95" s="2"/>
      <c r="L95" s="2"/>
      <c r="M95" s="2"/>
      <c r="N95" s="2"/>
      <c r="O95" s="2"/>
      <c r="P95" s="2"/>
      <c r="Q95" s="2"/>
      <c r="R95" s="2"/>
      <c r="S95" s="2"/>
      <c r="T95" s="2"/>
      <c r="U95" s="2"/>
      <c r="V95" s="2"/>
      <c r="W95" s="2"/>
      <c r="X95" s="2"/>
      <c r="Y95" s="2"/>
      <c r="Z95" s="2"/>
    </row>
  </sheetData>
  <pageMargins left="0.699305555555556" right="0.699305555555556" top="0.75" bottom="0.75" header="0.3" footer="0.3"/>
  <pageSetup paperSize="9"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E3:S38"/>
  <sheetViews>
    <sheetView topLeftCell="B25" workbookViewId="0">
      <selection activeCell="L6" sqref="L6:L38"/>
    </sheetView>
  </sheetViews>
  <sheetFormatPr defaultColWidth="9" defaultRowHeight="14"/>
  <cols>
    <col min="6" max="6" width="11.6272727272727" customWidth="1"/>
  </cols>
  <sheetData>
    <row r="3" spans="5:6">
      <c r="E3">
        <v>65535</v>
      </c>
      <c r="F3">
        <f>E3^2</f>
        <v>4294836225</v>
      </c>
    </row>
    <row r="5" spans="6:6">
      <c r="F5">
        <v>4294836225</v>
      </c>
    </row>
    <row r="6" spans="9:12">
      <c r="I6">
        <v>-1.4</v>
      </c>
      <c r="L6">
        <v>-7000</v>
      </c>
    </row>
    <row r="7" spans="9:12">
      <c r="I7">
        <v>-1.4</v>
      </c>
      <c r="L7">
        <v>-6000</v>
      </c>
    </row>
    <row r="8" spans="9:12">
      <c r="I8">
        <v>-1.4</v>
      </c>
      <c r="L8">
        <v>-5000</v>
      </c>
    </row>
    <row r="9" spans="9:12">
      <c r="I9">
        <v>-1.4</v>
      </c>
      <c r="L9">
        <v>-4500</v>
      </c>
    </row>
    <row r="10" spans="9:12">
      <c r="I10">
        <v>-1.4</v>
      </c>
      <c r="L10">
        <v>-4000</v>
      </c>
    </row>
    <row r="11" spans="9:12">
      <c r="I11">
        <v>-1.4</v>
      </c>
      <c r="L11">
        <v>-3500</v>
      </c>
    </row>
    <row r="12" spans="9:12">
      <c r="I12">
        <v>-1.4</v>
      </c>
      <c r="L12">
        <v>-3000</v>
      </c>
    </row>
    <row r="13" spans="9:12">
      <c r="I13">
        <v>-1.4</v>
      </c>
      <c r="L13">
        <v>-2500</v>
      </c>
    </row>
    <row r="14" spans="9:12">
      <c r="I14">
        <v>-1.4</v>
      </c>
      <c r="L14">
        <v>-2000</v>
      </c>
    </row>
    <row r="15" spans="9:12">
      <c r="I15">
        <v>-1.4</v>
      </c>
      <c r="L15">
        <v>-1500</v>
      </c>
    </row>
    <row r="16" spans="9:12">
      <c r="I16">
        <v>-1.4</v>
      </c>
      <c r="L16">
        <v>-1000</v>
      </c>
    </row>
    <row r="17" spans="9:12">
      <c r="I17">
        <v>-1.4</v>
      </c>
      <c r="L17">
        <v>-750</v>
      </c>
    </row>
    <row r="18" spans="9:12">
      <c r="I18">
        <v>-1.4</v>
      </c>
      <c r="L18">
        <v>-500</v>
      </c>
    </row>
    <row r="19" spans="9:12">
      <c r="I19">
        <v>-1.4</v>
      </c>
      <c r="L19">
        <v>-490</v>
      </c>
    </row>
    <row r="20" spans="9:12">
      <c r="I20">
        <v>-1.4</v>
      </c>
      <c r="L20">
        <v>-200</v>
      </c>
    </row>
    <row r="21" spans="9:12">
      <c r="I21">
        <v>0</v>
      </c>
      <c r="L21">
        <v>-1</v>
      </c>
    </row>
    <row r="22" spans="9:19">
      <c r="I22">
        <v>0</v>
      </c>
      <c r="L22">
        <v>0</v>
      </c>
      <c r="P22" t="s">
        <v>862</v>
      </c>
      <c r="S22" t="s">
        <v>863</v>
      </c>
    </row>
    <row r="23" spans="9:19">
      <c r="I23">
        <v>0</v>
      </c>
      <c r="L23">
        <v>400</v>
      </c>
      <c r="P23">
        <v>0.001</v>
      </c>
      <c r="S23">
        <v>490</v>
      </c>
    </row>
    <row r="24" spans="9:19">
      <c r="I24">
        <v>0</v>
      </c>
      <c r="L24">
        <v>490</v>
      </c>
      <c r="P24">
        <v>0.1</v>
      </c>
      <c r="S24">
        <v>500</v>
      </c>
    </row>
    <row r="25" spans="9:19">
      <c r="I25">
        <v>0</v>
      </c>
      <c r="L25">
        <v>500</v>
      </c>
      <c r="P25">
        <v>0.2</v>
      </c>
      <c r="S25">
        <v>1000</v>
      </c>
    </row>
    <row r="26" spans="9:19">
      <c r="I26">
        <v>0</v>
      </c>
      <c r="L26">
        <v>1000</v>
      </c>
      <c r="P26">
        <v>0.2</v>
      </c>
      <c r="S26">
        <v>1500</v>
      </c>
    </row>
    <row r="27" spans="9:19">
      <c r="I27">
        <v>0</v>
      </c>
      <c r="L27">
        <v>1500</v>
      </c>
      <c r="P27">
        <v>0.4</v>
      </c>
      <c r="S27">
        <v>2000</v>
      </c>
    </row>
    <row r="28" spans="9:19">
      <c r="I28">
        <v>0</v>
      </c>
      <c r="L28">
        <v>2000</v>
      </c>
      <c r="P28">
        <v>0.4</v>
      </c>
      <c r="S28">
        <v>2500</v>
      </c>
    </row>
    <row r="29" spans="9:19">
      <c r="I29">
        <v>0</v>
      </c>
      <c r="L29">
        <v>2500</v>
      </c>
      <c r="P29">
        <v>0.4</v>
      </c>
      <c r="S29">
        <v>3000</v>
      </c>
    </row>
    <row r="30" spans="9:19">
      <c r="I30">
        <v>0</v>
      </c>
      <c r="L30">
        <v>2600</v>
      </c>
      <c r="P30">
        <v>0.9</v>
      </c>
      <c r="S30">
        <v>3500</v>
      </c>
    </row>
    <row r="31" spans="9:19">
      <c r="I31">
        <v>0</v>
      </c>
      <c r="L31">
        <v>3000</v>
      </c>
      <c r="P31">
        <v>0.9</v>
      </c>
      <c r="S31">
        <v>4000</v>
      </c>
    </row>
    <row r="32" spans="9:19">
      <c r="I32">
        <v>0</v>
      </c>
      <c r="L32">
        <v>3500</v>
      </c>
      <c r="P32">
        <v>0.9</v>
      </c>
      <c r="S32">
        <v>4500</v>
      </c>
    </row>
    <row r="33" spans="9:19">
      <c r="I33">
        <v>0</v>
      </c>
      <c r="L33">
        <v>4000</v>
      </c>
      <c r="P33">
        <v>0.9</v>
      </c>
      <c r="S33">
        <v>5000</v>
      </c>
    </row>
    <row r="34" spans="9:19">
      <c r="I34">
        <v>0</v>
      </c>
      <c r="L34">
        <v>4500</v>
      </c>
      <c r="P34">
        <v>0.9</v>
      </c>
      <c r="S34">
        <v>5500</v>
      </c>
    </row>
    <row r="35" spans="9:19">
      <c r="I35">
        <v>0</v>
      </c>
      <c r="L35">
        <v>5000</v>
      </c>
      <c r="P35">
        <v>0.9</v>
      </c>
      <c r="S35">
        <v>5700</v>
      </c>
    </row>
    <row r="36" spans="9:19">
      <c r="I36">
        <v>0</v>
      </c>
      <c r="L36">
        <v>5500</v>
      </c>
      <c r="P36">
        <v>0.9</v>
      </c>
      <c r="S36">
        <v>6000</v>
      </c>
    </row>
    <row r="37" spans="9:19">
      <c r="I37">
        <v>0</v>
      </c>
      <c r="L37">
        <v>6000</v>
      </c>
      <c r="P37" t="s">
        <v>864</v>
      </c>
      <c r="S37" t="s">
        <v>864</v>
      </c>
    </row>
    <row r="38" spans="9:12">
      <c r="I38">
        <v>0</v>
      </c>
      <c r="L38">
        <v>7000</v>
      </c>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11</vt:i4>
      </vt:variant>
    </vt:vector>
  </HeadingPairs>
  <TitlesOfParts>
    <vt:vector size="11" baseType="lpstr">
      <vt:lpstr>Overview</vt:lpstr>
      <vt:lpstr>DataTypeDefinition</vt:lpstr>
      <vt:lpstr>ParameterDefinition</vt:lpstr>
      <vt:lpstr>ParameterDefinition2</vt:lpstr>
      <vt:lpstr>TableDefinition</vt:lpstr>
      <vt:lpstr>SignalDefinition</vt:lpstr>
      <vt:lpstr>BusDefinition</vt:lpstr>
      <vt:lpstr>Comment</vt:lpstr>
      <vt:lpstr>ModuleDefination</vt:lpstr>
      <vt:lpstr>TableProcess</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xingchun.zhang</dc:creator>
  <cp:lastModifiedBy>M00063473</cp:lastModifiedBy>
  <dcterms:created xsi:type="dcterms:W3CDTF">2006-09-16T00:00:00Z</dcterms:created>
  <dcterms:modified xsi:type="dcterms:W3CDTF">2026-01-12T12:56:57Z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2052-11.8.2.11813</vt:lpwstr>
  </property>
  <property fmtid="{D5CDD505-2E9C-101B-9397-08002B2CF9AE}" pid="3" name="ICV">
    <vt:lpwstr>6DE9096F874540A09ACFCD147B0D086D</vt:lpwstr>
  </property>
</Properties>
</file>