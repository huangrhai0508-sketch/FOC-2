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checkCompatibility="1"/>
  <bookViews>
    <workbookView xWindow="0" yWindow="60" windowWidth="19770" windowHeight="8310" activeTab="5"/>
  </bookViews>
  <sheets>
    <sheet name="Input" sheetId="1" r:id="rId1"/>
    <sheet name="flux" sheetId="7" r:id="rId2"/>
    <sheet name="Ld" sheetId="2" r:id="rId3"/>
    <sheet name="Lq" sheetId="4" r:id="rId4"/>
    <sheet name="MTPA" sheetId="3" r:id="rId5"/>
    <sheet name="FW前馈" sheetId="5" r:id="rId6"/>
    <sheet name="摩擦扭矩" sheetId="6" r:id="rId7"/>
  </sheets>
  <calcPr calcId="144525"/>
</workbook>
</file>

<file path=xl/calcChain.xml><?xml version="1.0" encoding="utf-8"?>
<calcChain xmlns="http://schemas.openxmlformats.org/spreadsheetml/2006/main">
  <c r="F2" i="5" l="1"/>
  <c r="F5" i="3" l="1"/>
  <c r="G2" i="3" l="1"/>
  <c r="D2" i="3"/>
  <c r="C2" i="3"/>
  <c r="F2" i="3"/>
  <c r="E2" i="3"/>
  <c r="H11" i="3" l="1"/>
  <c r="H7" i="3"/>
  <c r="H15" i="3"/>
  <c r="H10" i="3"/>
  <c r="H6" i="3"/>
  <c r="H16" i="3"/>
  <c r="H17" i="3"/>
  <c r="H23" i="3"/>
  <c r="H9" i="3"/>
  <c r="H5" i="3"/>
  <c r="H18" i="3"/>
  <c r="H19" i="3"/>
  <c r="H24" i="3"/>
  <c r="H22" i="3"/>
  <c r="H12" i="3"/>
  <c r="H13" i="3"/>
  <c r="H20" i="3"/>
  <c r="H8" i="3"/>
  <c r="F6" i="3"/>
  <c r="F18" i="3"/>
  <c r="F12" i="3"/>
  <c r="F10" i="3"/>
  <c r="F16" i="3"/>
  <c r="F8" i="3"/>
  <c r="D24" i="3"/>
  <c r="D13" i="3"/>
  <c r="D9" i="3"/>
  <c r="D5" i="3"/>
  <c r="D22" i="3"/>
  <c r="D12" i="3"/>
  <c r="D8" i="3"/>
  <c r="D15" i="3"/>
  <c r="D16" i="3"/>
  <c r="D7" i="3"/>
  <c r="D17" i="3"/>
  <c r="D10" i="3"/>
  <c r="D6" i="3"/>
  <c r="D20" i="3"/>
  <c r="D11" i="3"/>
  <c r="D18" i="3"/>
  <c r="D19" i="3"/>
  <c r="D23" i="3"/>
  <c r="E23" i="3"/>
  <c r="E10" i="3"/>
  <c r="E6" i="3"/>
  <c r="E19" i="3"/>
  <c r="E20" i="3"/>
  <c r="E24" i="3"/>
  <c r="E13" i="3"/>
  <c r="E9" i="3"/>
  <c r="E5" i="3"/>
  <c r="E22" i="3"/>
  <c r="E8" i="3"/>
  <c r="E16" i="3"/>
  <c r="E11" i="3"/>
  <c r="E7" i="3"/>
  <c r="E18" i="3"/>
  <c r="E12" i="3"/>
  <c r="E15" i="3"/>
  <c r="E17" i="3"/>
  <c r="G13" i="3"/>
  <c r="G9" i="3"/>
  <c r="G5" i="3"/>
  <c r="G16" i="3"/>
  <c r="G17" i="3"/>
  <c r="G23" i="3"/>
  <c r="G12" i="3"/>
  <c r="G8" i="3"/>
  <c r="G18" i="3"/>
  <c r="G19" i="3"/>
  <c r="G20" i="3"/>
  <c r="G7" i="3"/>
  <c r="G14" i="3"/>
  <c r="G6" i="3"/>
  <c r="G24" i="3"/>
  <c r="G11" i="3"/>
  <c r="G10" i="3"/>
  <c r="G15" i="3"/>
  <c r="D39" i="4" l="1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D38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D38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D4" i="2"/>
  <c r="S20" i="2"/>
  <c r="C35" i="2"/>
  <c r="C5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D20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6" i="2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S52" i="1"/>
  <c r="S53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S38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T3" i="1"/>
  <c r="E4" i="3" l="1"/>
  <c r="H4" i="3"/>
  <c r="D4" i="3"/>
  <c r="F4" i="3"/>
  <c r="C4" i="3"/>
</calcChain>
</file>

<file path=xl/comments1.xml><?xml version="1.0" encoding="utf-8"?>
<comments xmlns="http://schemas.openxmlformats.org/spreadsheetml/2006/main">
  <authors>
    <author>xingchun.zhang</author>
  </authors>
  <commentList>
    <comment ref="C21" authorId="0">
      <text>
        <r>
          <rPr>
            <b/>
            <sz val="9"/>
            <color indexed="81"/>
            <rFont val="宋体"/>
            <charset val="134"/>
          </rPr>
          <t>xingchun.zhang:</t>
        </r>
        <r>
          <rPr>
            <sz val="9"/>
            <color indexed="81"/>
            <rFont val="宋体"/>
            <charset val="134"/>
          </rPr>
          <t xml:space="preserve">
392</t>
        </r>
      </text>
    </comment>
    <comment ref="D21" authorId="0">
      <text>
        <r>
          <rPr>
            <b/>
            <sz val="9"/>
            <color indexed="81"/>
            <rFont val="宋体"/>
            <charset val="134"/>
          </rPr>
          <t>xingchun.zhang:</t>
        </r>
        <r>
          <rPr>
            <sz val="9"/>
            <color indexed="81"/>
            <rFont val="宋体"/>
            <charset val="134"/>
          </rPr>
          <t xml:space="preserve">
402</t>
        </r>
      </text>
    </comment>
    <comment ref="E21" authorId="0">
      <text>
        <r>
          <rPr>
            <b/>
            <sz val="9"/>
            <color indexed="81"/>
            <rFont val="宋体"/>
            <charset val="134"/>
          </rPr>
          <t>xingchun.zhang:</t>
        </r>
        <r>
          <rPr>
            <sz val="9"/>
            <color indexed="81"/>
            <rFont val="宋体"/>
            <charset val="134"/>
          </rPr>
          <t xml:space="preserve">
412</t>
        </r>
      </text>
    </comment>
    <comment ref="F21" authorId="0">
      <text>
        <r>
          <rPr>
            <b/>
            <sz val="9"/>
            <color indexed="81"/>
            <rFont val="宋体"/>
            <charset val="134"/>
          </rPr>
          <t>xingchun.zhang:</t>
        </r>
        <r>
          <rPr>
            <sz val="9"/>
            <color indexed="81"/>
            <rFont val="宋体"/>
            <charset val="134"/>
          </rPr>
          <t xml:space="preserve">
422</t>
        </r>
      </text>
    </comment>
    <comment ref="G21" authorId="0">
      <text>
        <r>
          <rPr>
            <b/>
            <sz val="9"/>
            <color indexed="81"/>
            <rFont val="宋体"/>
            <charset val="134"/>
          </rPr>
          <t>xingchun.zhang:</t>
        </r>
        <r>
          <rPr>
            <sz val="9"/>
            <color indexed="81"/>
            <rFont val="宋体"/>
            <charset val="134"/>
          </rPr>
          <t xml:space="preserve">
433</t>
        </r>
      </text>
    </comment>
    <comment ref="H21" authorId="0">
      <text>
        <r>
          <rPr>
            <b/>
            <sz val="9"/>
            <color indexed="81"/>
            <rFont val="宋体"/>
            <charset val="134"/>
          </rPr>
          <t>xingchun.zhang:</t>
        </r>
        <r>
          <rPr>
            <sz val="9"/>
            <color indexed="81"/>
            <rFont val="宋体"/>
            <charset val="134"/>
          </rPr>
          <t xml:space="preserve">
445</t>
        </r>
      </text>
    </comment>
    <comment ref="I21" authorId="0">
      <text>
        <r>
          <rPr>
            <b/>
            <sz val="9"/>
            <color indexed="81"/>
            <rFont val="宋体"/>
            <charset val="134"/>
          </rPr>
          <t>xingchun.zhang:</t>
        </r>
        <r>
          <rPr>
            <sz val="9"/>
            <color indexed="81"/>
            <rFont val="宋体"/>
            <charset val="134"/>
          </rPr>
          <t xml:space="preserve">
454</t>
        </r>
      </text>
    </comment>
    <comment ref="F24" authorId="0">
      <text>
        <r>
          <rPr>
            <b/>
            <sz val="9"/>
            <color indexed="81"/>
            <rFont val="宋体"/>
            <charset val="134"/>
          </rPr>
          <t>xingchun.zhang:</t>
        </r>
        <r>
          <rPr>
            <sz val="9"/>
            <color indexed="81"/>
            <rFont val="宋体"/>
            <charset val="134"/>
          </rPr>
          <t xml:space="preserve">
496</t>
        </r>
      </text>
    </comment>
  </commentList>
</comments>
</file>

<file path=xl/sharedStrings.xml><?xml version="1.0" encoding="utf-8"?>
<sst xmlns="http://schemas.openxmlformats.org/spreadsheetml/2006/main" count="17" uniqueCount="15">
  <si>
    <t xml:space="preserve">Fai_d vs  Idq   unit:A(Current)      Wb(0.01)     </t>
  </si>
  <si>
    <t>Iq\Id</t>
  </si>
  <si>
    <t xml:space="preserve">Fai_d vs  Idq   unit:A(Current)      Wb(0.1)     </t>
  </si>
  <si>
    <t>Ld</t>
  </si>
  <si>
    <t>Ld</t>
    <phoneticPr fontId="1" type="noConversion"/>
  </si>
  <si>
    <r>
      <t>L</t>
    </r>
    <r>
      <rPr>
        <sz val="12"/>
        <rFont val="宋体"/>
        <family val="3"/>
        <charset val="134"/>
      </rPr>
      <t>q</t>
    </r>
    <phoneticPr fontId="1" type="noConversion"/>
  </si>
  <si>
    <t>Udc</t>
    <phoneticPr fontId="1" type="noConversion"/>
  </si>
  <si>
    <t>n</t>
    <phoneticPr fontId="1" type="noConversion"/>
  </si>
  <si>
    <t>P</t>
    <phoneticPr fontId="1" type="noConversion"/>
  </si>
  <si>
    <t>psiMax</t>
    <phoneticPr fontId="1" type="noConversion"/>
  </si>
  <si>
    <t>Vdc</t>
    <phoneticPr fontId="1" type="noConversion"/>
  </si>
  <si>
    <t>n</t>
    <phoneticPr fontId="1" type="noConversion"/>
  </si>
  <si>
    <t>Te</t>
    <phoneticPr fontId="3" type="noConversion"/>
  </si>
  <si>
    <t>id</t>
    <phoneticPr fontId="3" type="noConversion"/>
  </si>
  <si>
    <t>flux_25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</si>
</sst>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6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Input!$T$3:$T$32</c:f>
              <c:numCache>
                <c:formatCode>General</c:formatCode>
                <c:ptCount val="30"/>
                <c:pt idx="0">
                  <c:v>1.4800000000000005E-4</c:v>
                </c:pt>
                <c:pt idx="1">
                  <c:v>1.3399999999999998E-4</c:v>
                </c:pt>
                <c:pt idx="2">
                  <c:v>1.2000000000000011E-4</c:v>
                </c:pt>
                <c:pt idx="3">
                  <c:v>1.0800000000000001E-4</c:v>
                </c:pt>
                <c:pt idx="4">
                  <c:v>9.3999999999999954E-5</c:v>
                </c:pt>
                <c:pt idx="5">
                  <c:v>8.3999999999999982E-5</c:v>
                </c:pt>
                <c:pt idx="6">
                  <c:v>7.5999999999999977E-5</c:v>
                </c:pt>
                <c:pt idx="7">
                  <c:v>6.7999999999999972E-5</c:v>
                </c:pt>
                <c:pt idx="8">
                  <c:v>6.4000000000000051E-5</c:v>
                </c:pt>
                <c:pt idx="9">
                  <c:v>6.4000000000000051E-5</c:v>
                </c:pt>
                <c:pt idx="10">
                  <c:v>7.199999999999988E-5</c:v>
                </c:pt>
                <c:pt idx="11">
                  <c:v>8.8000000000000079E-5</c:v>
                </c:pt>
                <c:pt idx="12">
                  <c:v>1.0800000000000001E-4</c:v>
                </c:pt>
                <c:pt idx="13">
                  <c:v>1.1799999999999998E-4</c:v>
                </c:pt>
                <c:pt idx="14">
                  <c:v>1.1999999999999994E-4</c:v>
                </c:pt>
                <c:pt idx="15">
                  <c:v>1.1999999999999994E-4</c:v>
                </c:pt>
                <c:pt idx="16">
                  <c:v>1.1600000000000001E-4</c:v>
                </c:pt>
                <c:pt idx="17">
                  <c:v>1.0199999999999996E-4</c:v>
                </c:pt>
                <c:pt idx="18">
                  <c:v>8.2000000000000028E-5</c:v>
                </c:pt>
                <c:pt idx="19">
                  <c:v>6.1999999999999921E-5</c:v>
                </c:pt>
                <c:pt idx="20">
                  <c:v>5.1999999999999956E-5</c:v>
                </c:pt>
                <c:pt idx="21">
                  <c:v>5.1999999999999956E-5</c:v>
                </c:pt>
                <c:pt idx="22">
                  <c:v>5.599999999999987E-5</c:v>
                </c:pt>
                <c:pt idx="23">
                  <c:v>5.9999999999999968E-5</c:v>
                </c:pt>
                <c:pt idx="24">
                  <c:v>6.7999999999999972E-5</c:v>
                </c:pt>
                <c:pt idx="25">
                  <c:v>7.5999999999999977E-5</c:v>
                </c:pt>
                <c:pt idx="26">
                  <c:v>8.7999999999999903E-5</c:v>
                </c:pt>
                <c:pt idx="27">
                  <c:v>1E-4</c:v>
                </c:pt>
                <c:pt idx="28">
                  <c:v>1.1199999999999993E-4</c:v>
                </c:pt>
                <c:pt idx="29">
                  <c:v>1.2599999999999997E-4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Input!$U$3:$U$32</c:f>
              <c:numCache>
                <c:formatCode>General</c:formatCode>
                <c:ptCount val="30"/>
                <c:pt idx="0">
                  <c:v>1.1799999999999998E-4</c:v>
                </c:pt>
                <c:pt idx="1">
                  <c:v>1.1199999999999993E-4</c:v>
                </c:pt>
                <c:pt idx="2">
                  <c:v>1.0600000000000006E-4</c:v>
                </c:pt>
                <c:pt idx="3">
                  <c:v>1.0099999999999997E-4</c:v>
                </c:pt>
                <c:pt idx="4">
                  <c:v>9.5999999999999989E-5</c:v>
                </c:pt>
                <c:pt idx="5">
                  <c:v>9.2E-5</c:v>
                </c:pt>
                <c:pt idx="6">
                  <c:v>8.8999999999999968E-5</c:v>
                </c:pt>
                <c:pt idx="7">
                  <c:v>8.7000000000000014E-5</c:v>
                </c:pt>
                <c:pt idx="8">
                  <c:v>8.7000000000000014E-5</c:v>
                </c:pt>
                <c:pt idx="9">
                  <c:v>8.9999999999999938E-5</c:v>
                </c:pt>
                <c:pt idx="10">
                  <c:v>9.7999999999999956E-5</c:v>
                </c:pt>
                <c:pt idx="11">
                  <c:v>1.0899999999999998E-4</c:v>
                </c:pt>
                <c:pt idx="12">
                  <c:v>1.1899999999999995E-4</c:v>
                </c:pt>
                <c:pt idx="13">
                  <c:v>1.2400000000000001E-4</c:v>
                </c:pt>
                <c:pt idx="14">
                  <c:v>1.1399999999999997E-4</c:v>
                </c:pt>
                <c:pt idx="15">
                  <c:v>1.2400000000000001E-4</c:v>
                </c:pt>
                <c:pt idx="16">
                  <c:v>1.2299999999999995E-4</c:v>
                </c:pt>
                <c:pt idx="17">
                  <c:v>1.1599999999999992E-4</c:v>
                </c:pt>
                <c:pt idx="18">
                  <c:v>1.0600000000000006E-4</c:v>
                </c:pt>
                <c:pt idx="19">
                  <c:v>9.299999999999997E-5</c:v>
                </c:pt>
                <c:pt idx="20">
                  <c:v>8.3999999999999982E-5</c:v>
                </c:pt>
                <c:pt idx="21">
                  <c:v>8.0999999999999963E-5</c:v>
                </c:pt>
                <c:pt idx="22">
                  <c:v>8.0999999999999963E-5</c:v>
                </c:pt>
                <c:pt idx="23">
                  <c:v>8.0999999999999963E-5</c:v>
                </c:pt>
                <c:pt idx="24">
                  <c:v>8.2999999999999998E-5</c:v>
                </c:pt>
                <c:pt idx="25">
                  <c:v>8.7000000000000014E-5</c:v>
                </c:pt>
                <c:pt idx="26">
                  <c:v>9.0999999999999922E-5</c:v>
                </c:pt>
                <c:pt idx="27">
                  <c:v>9.5000000000000019E-5</c:v>
                </c:pt>
                <c:pt idx="28">
                  <c:v>1.0099999999999997E-4</c:v>
                </c:pt>
                <c:pt idx="29">
                  <c:v>1.0600000000000006E-4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Input!$V$3:$V$32</c:f>
              <c:numCache>
                <c:formatCode>General</c:formatCode>
                <c:ptCount val="30"/>
                <c:pt idx="0">
                  <c:v>1.0799999999999997E-4</c:v>
                </c:pt>
                <c:pt idx="1">
                  <c:v>1.0399999999999998E-4</c:v>
                </c:pt>
                <c:pt idx="2">
                  <c:v>1.0066666666666668E-4</c:v>
                </c:pt>
                <c:pt idx="3">
                  <c:v>9.8666666666666662E-5</c:v>
                </c:pt>
                <c:pt idx="4">
                  <c:v>9.5999999999999975E-5</c:v>
                </c:pt>
                <c:pt idx="5">
                  <c:v>9.4666666666666686E-5</c:v>
                </c:pt>
                <c:pt idx="6">
                  <c:v>9.333333333333333E-5</c:v>
                </c:pt>
                <c:pt idx="7">
                  <c:v>9.333333333333333E-5</c:v>
                </c:pt>
                <c:pt idx="8">
                  <c:v>9.4666666666666673E-5</c:v>
                </c:pt>
                <c:pt idx="9">
                  <c:v>9.8666666666666662E-5</c:v>
                </c:pt>
                <c:pt idx="10">
                  <c:v>1.0599999999999999E-4</c:v>
                </c:pt>
                <c:pt idx="11">
                  <c:v>1.1466666666666668E-4</c:v>
                </c:pt>
                <c:pt idx="12">
                  <c:v>1.2133333333333329E-4</c:v>
                </c:pt>
                <c:pt idx="13">
                  <c:v>1.2466666666666664E-4</c:v>
                </c:pt>
                <c:pt idx="14">
                  <c:v>1.2466666666666667E-4</c:v>
                </c:pt>
                <c:pt idx="15">
                  <c:v>1.2466666666666667E-4</c:v>
                </c:pt>
                <c:pt idx="16">
                  <c:v>1.2400000000000001E-4</c:v>
                </c:pt>
                <c:pt idx="17">
                  <c:v>1.1933333333333331E-4</c:v>
                </c:pt>
                <c:pt idx="18">
                  <c:v>1.1200000000000001E-4</c:v>
                </c:pt>
                <c:pt idx="19">
                  <c:v>1.0266666666666664E-4</c:v>
                </c:pt>
                <c:pt idx="20">
                  <c:v>9.4666666666666632E-5</c:v>
                </c:pt>
                <c:pt idx="21">
                  <c:v>9.0666666666666616E-5</c:v>
                </c:pt>
                <c:pt idx="22">
                  <c:v>8.8666666666666663E-5</c:v>
                </c:pt>
                <c:pt idx="23">
                  <c:v>8.8000000000000025E-5</c:v>
                </c:pt>
                <c:pt idx="24">
                  <c:v>8.8666666666666663E-5</c:v>
                </c:pt>
                <c:pt idx="25">
                  <c:v>9.0000000000000006E-5</c:v>
                </c:pt>
                <c:pt idx="26">
                  <c:v>9.1999999999999959E-5</c:v>
                </c:pt>
                <c:pt idx="27">
                  <c:v>9.3999999999999981E-5</c:v>
                </c:pt>
                <c:pt idx="28">
                  <c:v>9.6666666666666667E-5</c:v>
                </c:pt>
                <c:pt idx="29">
                  <c:v>1.0000000000000003E-4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val>
            <c:numRef>
              <c:f>Input!$W$3:$W$32</c:f>
              <c:numCache>
                <c:formatCode>General</c:formatCode>
                <c:ptCount val="30"/>
                <c:pt idx="0">
                  <c:v>1.0249999999999998E-4</c:v>
                </c:pt>
                <c:pt idx="1">
                  <c:v>9.9999999999999991E-5</c:v>
                </c:pt>
                <c:pt idx="2">
                  <c:v>9.8500000000000009E-5</c:v>
                </c:pt>
                <c:pt idx="3">
                  <c:v>9.7E-5</c:v>
                </c:pt>
                <c:pt idx="4">
                  <c:v>9.5999999999999975E-5</c:v>
                </c:pt>
                <c:pt idx="5">
                  <c:v>9.5500000000000017E-5</c:v>
                </c:pt>
                <c:pt idx="6">
                  <c:v>9.5500000000000017E-5</c:v>
                </c:pt>
                <c:pt idx="7">
                  <c:v>9.6500000000000001E-5</c:v>
                </c:pt>
                <c:pt idx="8">
                  <c:v>9.8999999999999994E-5</c:v>
                </c:pt>
                <c:pt idx="9">
                  <c:v>1.03E-4</c:v>
                </c:pt>
                <c:pt idx="10">
                  <c:v>1.0999999999999999E-4</c:v>
                </c:pt>
                <c:pt idx="11">
                  <c:v>1.1650000000000001E-4</c:v>
                </c:pt>
                <c:pt idx="12">
                  <c:v>1.215E-4</c:v>
                </c:pt>
                <c:pt idx="13">
                  <c:v>1.2449999999999999E-4</c:v>
                </c:pt>
                <c:pt idx="14">
                  <c:v>1.2450000000000002E-4</c:v>
                </c:pt>
                <c:pt idx="15">
                  <c:v>1.2450000000000002E-4</c:v>
                </c:pt>
                <c:pt idx="16">
                  <c:v>1.2349999999999999E-4</c:v>
                </c:pt>
                <c:pt idx="17">
                  <c:v>1.1999999999999996E-4</c:v>
                </c:pt>
                <c:pt idx="18">
                  <c:v>1.145E-4</c:v>
                </c:pt>
                <c:pt idx="19">
                  <c:v>1.0749999999999997E-4</c:v>
                </c:pt>
                <c:pt idx="20">
                  <c:v>9.9999999999999991E-5</c:v>
                </c:pt>
                <c:pt idx="21">
                  <c:v>9.5499999999999977E-5</c:v>
                </c:pt>
                <c:pt idx="22">
                  <c:v>9.299999999999997E-5</c:v>
                </c:pt>
                <c:pt idx="23">
                  <c:v>9.1500000000000001E-5</c:v>
                </c:pt>
                <c:pt idx="24">
                  <c:v>9.1000000000000016E-5</c:v>
                </c:pt>
                <c:pt idx="25">
                  <c:v>9.1000000000000016E-5</c:v>
                </c:pt>
                <c:pt idx="26">
                  <c:v>9.1999999999999959E-5</c:v>
                </c:pt>
                <c:pt idx="27">
                  <c:v>9.2999999999999997E-5</c:v>
                </c:pt>
                <c:pt idx="28">
                  <c:v>9.4500000000000007E-5</c:v>
                </c:pt>
                <c:pt idx="29">
                  <c:v>9.6500000000000001E-5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val>
            <c:numRef>
              <c:f>Input!$X$3:$X$32</c:f>
              <c:numCache>
                <c:formatCode>General</c:formatCode>
                <c:ptCount val="30"/>
                <c:pt idx="0">
                  <c:v>9.8799999999999976E-5</c:v>
                </c:pt>
                <c:pt idx="1">
                  <c:v>9.7599999999999974E-5</c:v>
                </c:pt>
                <c:pt idx="2">
                  <c:v>9.6400000000000012E-5</c:v>
                </c:pt>
                <c:pt idx="3">
                  <c:v>9.6399999999999999E-5</c:v>
                </c:pt>
                <c:pt idx="4">
                  <c:v>9.5999999999999975E-5</c:v>
                </c:pt>
                <c:pt idx="5">
                  <c:v>9.6000000000000002E-5</c:v>
                </c:pt>
                <c:pt idx="6">
                  <c:v>9.6799999999999995E-5</c:v>
                </c:pt>
                <c:pt idx="7">
                  <c:v>9.8399999999999993E-5</c:v>
                </c:pt>
                <c:pt idx="8">
                  <c:v>1.0119999999999999E-4</c:v>
                </c:pt>
                <c:pt idx="9">
                  <c:v>1.0559999999999998E-4</c:v>
                </c:pt>
                <c:pt idx="10">
                  <c:v>1.116E-4</c:v>
                </c:pt>
                <c:pt idx="11">
                  <c:v>1.1680000000000001E-4</c:v>
                </c:pt>
                <c:pt idx="12">
                  <c:v>1.2119999999999999E-4</c:v>
                </c:pt>
                <c:pt idx="13">
                  <c:v>1.236E-4</c:v>
                </c:pt>
                <c:pt idx="14">
                  <c:v>1.2400000000000001E-4</c:v>
                </c:pt>
                <c:pt idx="15">
                  <c:v>1.2400000000000001E-4</c:v>
                </c:pt>
                <c:pt idx="16">
                  <c:v>1.228E-4</c:v>
                </c:pt>
                <c:pt idx="17">
                  <c:v>1.1999999999999999E-4</c:v>
                </c:pt>
                <c:pt idx="18">
                  <c:v>1.156E-4</c:v>
                </c:pt>
                <c:pt idx="19">
                  <c:v>1.0999999999999998E-4</c:v>
                </c:pt>
                <c:pt idx="20">
                  <c:v>1.0319999999999999E-4</c:v>
                </c:pt>
                <c:pt idx="21">
                  <c:v>9.8399999999999979E-5</c:v>
                </c:pt>
                <c:pt idx="22">
                  <c:v>9.7999999999999997E-5</c:v>
                </c:pt>
                <c:pt idx="23">
                  <c:v>9.3599999999999998E-5</c:v>
                </c:pt>
                <c:pt idx="24">
                  <c:v>9.2399999999999996E-5</c:v>
                </c:pt>
                <c:pt idx="25">
                  <c:v>9.1600000000000017E-5</c:v>
                </c:pt>
                <c:pt idx="26">
                  <c:v>9.2E-5</c:v>
                </c:pt>
                <c:pt idx="27">
                  <c:v>9.2399999999999983E-5</c:v>
                </c:pt>
                <c:pt idx="28">
                  <c:v>9.3200000000000002E-5</c:v>
                </c:pt>
                <c:pt idx="29">
                  <c:v>9.4000000000000008E-5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val>
            <c:numRef>
              <c:f>Input!$Y$3:$Y$32</c:f>
              <c:numCache>
                <c:formatCode>General</c:formatCode>
                <c:ptCount val="30"/>
                <c:pt idx="0">
                  <c:v>9.6666666666666667E-5</c:v>
                </c:pt>
                <c:pt idx="1">
                  <c:v>9.5999999999999975E-5</c:v>
                </c:pt>
                <c:pt idx="2">
                  <c:v>9.5333333333333351E-5</c:v>
                </c:pt>
                <c:pt idx="3">
                  <c:v>9.5666666666666656E-5</c:v>
                </c:pt>
                <c:pt idx="4">
                  <c:v>9.5666666666666656E-5</c:v>
                </c:pt>
                <c:pt idx="5">
                  <c:v>9.6333333333333335E-5</c:v>
                </c:pt>
                <c:pt idx="6">
                  <c:v>9.7666666666666664E-5</c:v>
                </c:pt>
                <c:pt idx="7">
                  <c:v>9.9666666666666672E-5</c:v>
                </c:pt>
                <c:pt idx="8">
                  <c:v>1.03E-4</c:v>
                </c:pt>
                <c:pt idx="9">
                  <c:v>1.0733333333333333E-4</c:v>
                </c:pt>
                <c:pt idx="10">
                  <c:v>1.1266666666666666E-4</c:v>
                </c:pt>
                <c:pt idx="11">
                  <c:v>1.1666666666666667E-4</c:v>
                </c:pt>
                <c:pt idx="12">
                  <c:v>1.2033333333333332E-4</c:v>
                </c:pt>
                <c:pt idx="13">
                  <c:v>1.2233333333333334E-4</c:v>
                </c:pt>
                <c:pt idx="14">
                  <c:v>1.2300000000000001E-4</c:v>
                </c:pt>
                <c:pt idx="15">
                  <c:v>1.2300000000000001E-4</c:v>
                </c:pt>
                <c:pt idx="16">
                  <c:v>1.2200000000000001E-4</c:v>
                </c:pt>
                <c:pt idx="17">
                  <c:v>1.1933333333333332E-4</c:v>
                </c:pt>
                <c:pt idx="18">
                  <c:v>1.1566666666666665E-4</c:v>
                </c:pt>
                <c:pt idx="19">
                  <c:v>1.1099999999999999E-4</c:v>
                </c:pt>
                <c:pt idx="20">
                  <c:v>1.0499999999999999E-4</c:v>
                </c:pt>
                <c:pt idx="21">
                  <c:v>1.0033333333333334E-4</c:v>
                </c:pt>
                <c:pt idx="22">
                  <c:v>9.7333333333333318E-5</c:v>
                </c:pt>
                <c:pt idx="23">
                  <c:v>9.4999999999999978E-5</c:v>
                </c:pt>
                <c:pt idx="24">
                  <c:v>9.3333333333333343E-5</c:v>
                </c:pt>
                <c:pt idx="25">
                  <c:v>9.2333333333333346E-5</c:v>
                </c:pt>
                <c:pt idx="26">
                  <c:v>9.1666666666666654E-5</c:v>
                </c:pt>
                <c:pt idx="27">
                  <c:v>9.1666666666666668E-5</c:v>
                </c:pt>
                <c:pt idx="28">
                  <c:v>9.2000000000000014E-5</c:v>
                </c:pt>
                <c:pt idx="29">
                  <c:v>9.2333333333333346E-5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val>
            <c:numRef>
              <c:f>Input!$Z$3:$Z$32</c:f>
              <c:numCache>
                <c:formatCode>General</c:formatCode>
                <c:ptCount val="30"/>
                <c:pt idx="0">
                  <c:v>9.4857142857142853E-5</c:v>
                </c:pt>
                <c:pt idx="1">
                  <c:v>9.4571428571428562E-5</c:v>
                </c:pt>
                <c:pt idx="2">
                  <c:v>9.4571428571428589E-5</c:v>
                </c:pt>
                <c:pt idx="3">
                  <c:v>9.4857142857142853E-5</c:v>
                </c:pt>
                <c:pt idx="4">
                  <c:v>9.5714285714285712E-5</c:v>
                </c:pt>
                <c:pt idx="5">
                  <c:v>9.6571428571428584E-5</c:v>
                </c:pt>
                <c:pt idx="6">
                  <c:v>9.8285714285714301E-5</c:v>
                </c:pt>
                <c:pt idx="7">
                  <c:v>1.0057142857142856E-4</c:v>
                </c:pt>
                <c:pt idx="8">
                  <c:v>1.0399999999999999E-4</c:v>
                </c:pt>
                <c:pt idx="9">
                  <c:v>1.0799999999999998E-4</c:v>
                </c:pt>
                <c:pt idx="10">
                  <c:v>1.1257142857142857E-4</c:v>
                </c:pt>
                <c:pt idx="11">
                  <c:v>1.1628571428571429E-4</c:v>
                </c:pt>
                <c:pt idx="12">
                  <c:v>1.1942857142857142E-4</c:v>
                </c:pt>
                <c:pt idx="13">
                  <c:v>1.2142857142857143E-4</c:v>
                </c:pt>
                <c:pt idx="14">
                  <c:v>1.2171428571428571E-4</c:v>
                </c:pt>
                <c:pt idx="15">
                  <c:v>1.2171428571428571E-4</c:v>
                </c:pt>
                <c:pt idx="16">
                  <c:v>1.2085714285714285E-4</c:v>
                </c:pt>
                <c:pt idx="17">
                  <c:v>1.1857142857142856E-4</c:v>
                </c:pt>
                <c:pt idx="18">
                  <c:v>1.1542857142857143E-4</c:v>
                </c:pt>
                <c:pt idx="19">
                  <c:v>1.1142857142857142E-4</c:v>
                </c:pt>
                <c:pt idx="20">
                  <c:v>1.0628571428571428E-4</c:v>
                </c:pt>
                <c:pt idx="21">
                  <c:v>1.0171428571428571E-4</c:v>
                </c:pt>
                <c:pt idx="22">
                  <c:v>9.8571428571428565E-5</c:v>
                </c:pt>
                <c:pt idx="23">
                  <c:v>9.5714285714285712E-5</c:v>
                </c:pt>
                <c:pt idx="24">
                  <c:v>9.4000000000000008E-5</c:v>
                </c:pt>
                <c:pt idx="25">
                  <c:v>9.2571428571428582E-5</c:v>
                </c:pt>
                <c:pt idx="26">
                  <c:v>9.1714285714285696E-5</c:v>
                </c:pt>
                <c:pt idx="27">
                  <c:v>9.1428571428571419E-5</c:v>
                </c:pt>
                <c:pt idx="28">
                  <c:v>9.1142857142857141E-5</c:v>
                </c:pt>
                <c:pt idx="29">
                  <c:v>9.1142857142857155E-5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val>
            <c:numRef>
              <c:f>Input!$AA$3:$AA$32</c:f>
              <c:numCache>
                <c:formatCode>General</c:formatCode>
                <c:ptCount val="30"/>
                <c:pt idx="0">
                  <c:v>9.3499999999999996E-5</c:v>
                </c:pt>
                <c:pt idx="1">
                  <c:v>9.3499999999999996E-5</c:v>
                </c:pt>
                <c:pt idx="2">
                  <c:v>9.3750000000000002E-5</c:v>
                </c:pt>
                <c:pt idx="3">
                  <c:v>9.4750000000000013E-5</c:v>
                </c:pt>
                <c:pt idx="4">
                  <c:v>9.5499999999999977E-5</c:v>
                </c:pt>
                <c:pt idx="5">
                  <c:v>9.7E-5</c:v>
                </c:pt>
                <c:pt idx="6">
                  <c:v>9.8500000000000009E-5</c:v>
                </c:pt>
                <c:pt idx="7">
                  <c:v>1.0125000000000001E-4</c:v>
                </c:pt>
                <c:pt idx="8">
                  <c:v>1.0449999999999999E-4</c:v>
                </c:pt>
                <c:pt idx="9">
                  <c:v>1.0850000000000001E-4</c:v>
                </c:pt>
                <c:pt idx="10">
                  <c:v>1.1252499999999998E-4</c:v>
                </c:pt>
                <c:pt idx="11">
                  <c:v>1.1570000000000001E-4</c:v>
                </c:pt>
                <c:pt idx="12">
                  <c:v>1.184E-4</c:v>
                </c:pt>
                <c:pt idx="13">
                  <c:v>1.20025E-4</c:v>
                </c:pt>
                <c:pt idx="14">
                  <c:v>1.2035000000000001E-4</c:v>
                </c:pt>
                <c:pt idx="15">
                  <c:v>1.2030000000000001E-4</c:v>
                </c:pt>
                <c:pt idx="16">
                  <c:v>1.1964999999999998E-4</c:v>
                </c:pt>
                <c:pt idx="17">
                  <c:v>1.1765E-4</c:v>
                </c:pt>
                <c:pt idx="18">
                  <c:v>1.1485E-4</c:v>
                </c:pt>
                <c:pt idx="19">
                  <c:v>1.1132499999999998E-4</c:v>
                </c:pt>
                <c:pt idx="20">
                  <c:v>1.0699999999999997E-4</c:v>
                </c:pt>
                <c:pt idx="21">
                  <c:v>1.0274999999999999E-4</c:v>
                </c:pt>
                <c:pt idx="22">
                  <c:v>9.925E-5</c:v>
                </c:pt>
                <c:pt idx="23">
                  <c:v>9.6499999999999987E-5</c:v>
                </c:pt>
                <c:pt idx="24">
                  <c:v>9.4500000000000007E-5</c:v>
                </c:pt>
                <c:pt idx="25">
                  <c:v>9.3000000000000011E-5</c:v>
                </c:pt>
                <c:pt idx="26">
                  <c:v>9.1749999999999994E-5</c:v>
                </c:pt>
                <c:pt idx="27">
                  <c:v>9.0999999999999989E-5</c:v>
                </c:pt>
                <c:pt idx="28">
                  <c:v>9.0500000000000004E-5</c:v>
                </c:pt>
                <c:pt idx="29">
                  <c:v>9.0249999999999998E-5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val>
            <c:numRef>
              <c:f>Input!$AB$3:$AB$32</c:f>
              <c:numCache>
                <c:formatCode>General</c:formatCode>
                <c:ptCount val="30"/>
                <c:pt idx="0">
                  <c:v>9.2444444444444434E-5</c:v>
                </c:pt>
                <c:pt idx="1">
                  <c:v>9.2666666666666665E-5</c:v>
                </c:pt>
                <c:pt idx="2">
                  <c:v>9.3333333333333343E-5</c:v>
                </c:pt>
                <c:pt idx="3">
                  <c:v>9.4444444444444442E-5</c:v>
                </c:pt>
                <c:pt idx="4">
                  <c:v>9.5555555555555555E-5</c:v>
                </c:pt>
                <c:pt idx="5">
                  <c:v>9.7177777777777779E-5</c:v>
                </c:pt>
                <c:pt idx="6">
                  <c:v>9.9222222222222211E-5</c:v>
                </c:pt>
                <c:pt idx="7">
                  <c:v>1.0164444444444444E-4</c:v>
                </c:pt>
                <c:pt idx="8">
                  <c:v>1.0495555555555555E-4</c:v>
                </c:pt>
                <c:pt idx="9">
                  <c:v>1.0855555555555556E-4</c:v>
                </c:pt>
                <c:pt idx="10">
                  <c:v>1.1219999999999999E-4</c:v>
                </c:pt>
                <c:pt idx="11">
                  <c:v>1.1500000000000002E-4</c:v>
                </c:pt>
                <c:pt idx="12">
                  <c:v>1.1732666666666665E-4</c:v>
                </c:pt>
                <c:pt idx="13">
                  <c:v>1.1869777777777778E-4</c:v>
                </c:pt>
                <c:pt idx="14">
                  <c:v>1.189222222222222E-4</c:v>
                </c:pt>
                <c:pt idx="15">
                  <c:v>1.1888888888888888E-4</c:v>
                </c:pt>
                <c:pt idx="16">
                  <c:v>1.1835333333333333E-4</c:v>
                </c:pt>
                <c:pt idx="17">
                  <c:v>1.1666E-4</c:v>
                </c:pt>
                <c:pt idx="18">
                  <c:v>1.1424444444444444E-4</c:v>
                </c:pt>
                <c:pt idx="19">
                  <c:v>1.1113333333333333E-4</c:v>
                </c:pt>
                <c:pt idx="20">
                  <c:v>1.0715555555555555E-4</c:v>
                </c:pt>
                <c:pt idx="21">
                  <c:v>1.0326666666666665E-4</c:v>
                </c:pt>
                <c:pt idx="22">
                  <c:v>9.995555555555554E-5</c:v>
                </c:pt>
                <c:pt idx="23">
                  <c:v>9.7133333333333327E-5</c:v>
                </c:pt>
                <c:pt idx="24">
                  <c:v>9.488888888888889E-5</c:v>
                </c:pt>
                <c:pt idx="25">
                  <c:v>9.3111111111111126E-5</c:v>
                </c:pt>
                <c:pt idx="26">
                  <c:v>9.1777777777777783E-5</c:v>
                </c:pt>
                <c:pt idx="27">
                  <c:v>9.0888888888888888E-5</c:v>
                </c:pt>
                <c:pt idx="28">
                  <c:v>8.9999999999999992E-5</c:v>
                </c:pt>
                <c:pt idx="29">
                  <c:v>8.9555555555555572E-5</c:v>
                </c:pt>
              </c:numCache>
            </c:numRef>
          </c:val>
          <c:smooth val="0"/>
        </c:ser>
        <c:ser>
          <c:idx val="9"/>
          <c:order val="9"/>
          <c:marker>
            <c:symbol val="none"/>
          </c:marker>
          <c:val>
            <c:numRef>
              <c:f>Input!$AC$3:$AC$32</c:f>
              <c:numCache>
                <c:formatCode>General</c:formatCode>
                <c:ptCount val="30"/>
                <c:pt idx="0">
                  <c:v>9.1600000000000004E-5</c:v>
                </c:pt>
                <c:pt idx="1">
                  <c:v>9.2199999999999991E-5</c:v>
                </c:pt>
                <c:pt idx="2">
                  <c:v>9.3000000000000011E-5</c:v>
                </c:pt>
                <c:pt idx="3">
                  <c:v>9.4279999999999985E-5</c:v>
                </c:pt>
                <c:pt idx="4">
                  <c:v>9.5639999999999999E-5</c:v>
                </c:pt>
                <c:pt idx="5">
                  <c:v>9.7360000000000003E-5</c:v>
                </c:pt>
                <c:pt idx="6">
                  <c:v>9.9499999999999993E-5</c:v>
                </c:pt>
                <c:pt idx="7">
                  <c:v>1.0196000000000001E-4</c:v>
                </c:pt>
                <c:pt idx="8">
                  <c:v>1.0515599999999999E-4</c:v>
                </c:pt>
                <c:pt idx="9">
                  <c:v>1.0848200000000001E-4</c:v>
                </c:pt>
                <c:pt idx="10">
                  <c:v>1.1176E-4</c:v>
                </c:pt>
                <c:pt idx="11">
                  <c:v>1.1424000000000002E-4</c:v>
                </c:pt>
                <c:pt idx="12">
                  <c:v>1.1622000000000001E-4</c:v>
                </c:pt>
                <c:pt idx="13">
                  <c:v>1.1734E-4</c:v>
                </c:pt>
                <c:pt idx="14">
                  <c:v>1.175E-4</c:v>
                </c:pt>
                <c:pt idx="15">
                  <c:v>1.1747999999999999E-4</c:v>
                </c:pt>
                <c:pt idx="16">
                  <c:v>1.1702E-4</c:v>
                </c:pt>
                <c:pt idx="17">
                  <c:v>1.1561999999999999E-4</c:v>
                </c:pt>
                <c:pt idx="18">
                  <c:v>1.1354E-4</c:v>
                </c:pt>
                <c:pt idx="19">
                  <c:v>1.1077999999999999E-4</c:v>
                </c:pt>
                <c:pt idx="20">
                  <c:v>1.0899599999999998E-4</c:v>
                </c:pt>
                <c:pt idx="21">
                  <c:v>1.036E-4</c:v>
                </c:pt>
                <c:pt idx="22">
                  <c:v>1.0039999999999999E-4</c:v>
                </c:pt>
                <c:pt idx="23">
                  <c:v>9.7560000000000008E-5</c:v>
                </c:pt>
                <c:pt idx="24">
                  <c:v>9.5259999999999993E-5</c:v>
                </c:pt>
                <c:pt idx="25">
                  <c:v>9.342000000000001E-5</c:v>
                </c:pt>
                <c:pt idx="26">
                  <c:v>9.1920000000000001E-5</c:v>
                </c:pt>
                <c:pt idx="27">
                  <c:v>9.0699999999999996E-5</c:v>
                </c:pt>
                <c:pt idx="28">
                  <c:v>8.9739999999999991E-5</c:v>
                </c:pt>
                <c:pt idx="29">
                  <c:v>8.8979999999999992E-5</c:v>
                </c:pt>
              </c:numCache>
            </c:numRef>
          </c:val>
          <c:smooth val="0"/>
        </c:ser>
        <c:ser>
          <c:idx val="10"/>
          <c:order val="10"/>
          <c:marker>
            <c:symbol val="none"/>
          </c:marker>
          <c:val>
            <c:numRef>
              <c:f>Input!$AD$3:$AD$32</c:f>
              <c:numCache>
                <c:formatCode>General</c:formatCode>
                <c:ptCount val="30"/>
                <c:pt idx="0">
                  <c:v>9.0981818181818183E-5</c:v>
                </c:pt>
                <c:pt idx="1">
                  <c:v>9.1763636363636355E-5</c:v>
                </c:pt>
                <c:pt idx="2">
                  <c:v>9.2745454545454533E-5</c:v>
                </c:pt>
                <c:pt idx="3">
                  <c:v>9.4163636363636373E-5</c:v>
                </c:pt>
                <c:pt idx="4">
                  <c:v>9.5654545454545439E-5</c:v>
                </c:pt>
                <c:pt idx="5">
                  <c:v>9.7467272727272739E-5</c:v>
                </c:pt>
                <c:pt idx="6">
                  <c:v>9.9672727272727274E-5</c:v>
                </c:pt>
                <c:pt idx="7">
                  <c:v>1.0214545454545456E-4</c:v>
                </c:pt>
                <c:pt idx="8">
                  <c:v>1.0552727272727273E-4</c:v>
                </c:pt>
                <c:pt idx="9">
                  <c:v>1.0827272727272727E-4</c:v>
                </c:pt>
                <c:pt idx="10">
                  <c:v>1.1121818181818183E-4</c:v>
                </c:pt>
                <c:pt idx="11">
                  <c:v>1.133818181818182E-4</c:v>
                </c:pt>
                <c:pt idx="12">
                  <c:v>1.150909090909091E-4</c:v>
                </c:pt>
                <c:pt idx="13">
                  <c:v>1.1599999999999999E-4</c:v>
                </c:pt>
                <c:pt idx="14">
                  <c:v>1.1618181818181819E-4</c:v>
                </c:pt>
                <c:pt idx="15">
                  <c:v>1.1599999999999999E-4</c:v>
                </c:pt>
                <c:pt idx="16">
                  <c:v>1.1563636363636363E-4</c:v>
                </c:pt>
                <c:pt idx="17">
                  <c:v>1.1450909090909091E-4</c:v>
                </c:pt>
                <c:pt idx="18">
                  <c:v>1.1274545454545456E-4</c:v>
                </c:pt>
                <c:pt idx="19">
                  <c:v>1.103090909090909E-4</c:v>
                </c:pt>
                <c:pt idx="20">
                  <c:v>1.0709090909090907E-4</c:v>
                </c:pt>
                <c:pt idx="21">
                  <c:v>1.0376363636363636E-4</c:v>
                </c:pt>
                <c:pt idx="22">
                  <c:v>1.0069090909090908E-4</c:v>
                </c:pt>
                <c:pt idx="23">
                  <c:v>9.7869090909090905E-5</c:v>
                </c:pt>
                <c:pt idx="24">
                  <c:v>9.552909090909091E-5</c:v>
                </c:pt>
                <c:pt idx="25">
                  <c:v>9.3581818181818192E-5</c:v>
                </c:pt>
                <c:pt idx="26">
                  <c:v>9.1981818181818167E-5</c:v>
                </c:pt>
                <c:pt idx="27">
                  <c:v>9.0618181818181813E-5</c:v>
                </c:pt>
                <c:pt idx="28">
                  <c:v>8.9472727272727271E-5</c:v>
                </c:pt>
                <c:pt idx="29">
                  <c:v>8.8581818181818165E-5</c:v>
                </c:pt>
              </c:numCache>
            </c:numRef>
          </c:val>
          <c:smooth val="0"/>
        </c:ser>
        <c:ser>
          <c:idx val="11"/>
          <c:order val="11"/>
          <c:marker>
            <c:symbol val="none"/>
          </c:marker>
          <c:val>
            <c:numRef>
              <c:f>Input!$AE$3:$AE$32</c:f>
              <c:numCache>
                <c:formatCode>General</c:formatCode>
                <c:ptCount val="30"/>
                <c:pt idx="0">
                  <c:v>9.0499999999999991E-5</c:v>
                </c:pt>
                <c:pt idx="1">
                  <c:v>9.1416666666666662E-5</c:v>
                </c:pt>
                <c:pt idx="2">
                  <c:v>9.255E-5</c:v>
                </c:pt>
                <c:pt idx="3">
                  <c:v>9.4066666666666672E-5</c:v>
                </c:pt>
                <c:pt idx="4">
                  <c:v>9.5650000000000007E-5</c:v>
                </c:pt>
                <c:pt idx="5">
                  <c:v>9.7533333333333337E-5</c:v>
                </c:pt>
                <c:pt idx="6">
                  <c:v>9.9766666666666661E-5</c:v>
                </c:pt>
                <c:pt idx="7">
                  <c:v>1.0221666666666667E-4</c:v>
                </c:pt>
                <c:pt idx="8">
                  <c:v>1.0511666666666666E-4</c:v>
                </c:pt>
                <c:pt idx="9">
                  <c:v>1.0799999999999998E-4</c:v>
                </c:pt>
                <c:pt idx="10">
                  <c:v>1.1066666666666666E-4</c:v>
                </c:pt>
                <c:pt idx="11">
                  <c:v>1.125E-4</c:v>
                </c:pt>
                <c:pt idx="12">
                  <c:v>1.1400000000000001E-4</c:v>
                </c:pt>
                <c:pt idx="13">
                  <c:v>1.1466666666666667E-4</c:v>
                </c:pt>
                <c:pt idx="14">
                  <c:v>1.1483333333333335E-4</c:v>
                </c:pt>
                <c:pt idx="15">
                  <c:v>1.1483333333333335E-4</c:v>
                </c:pt>
                <c:pt idx="16">
                  <c:v>1.145E-4</c:v>
                </c:pt>
                <c:pt idx="17">
                  <c:v>1.1333333333333333E-4</c:v>
                </c:pt>
                <c:pt idx="18">
                  <c:v>1.1183333333333333E-4</c:v>
                </c:pt>
                <c:pt idx="19">
                  <c:v>1.0983333333333332E-4</c:v>
                </c:pt>
                <c:pt idx="20">
                  <c:v>1.0683333333333333E-4</c:v>
                </c:pt>
                <c:pt idx="21">
                  <c:v>1.0378333333333333E-4</c:v>
                </c:pt>
                <c:pt idx="22">
                  <c:v>1.0084999999999998E-4</c:v>
                </c:pt>
                <c:pt idx="23">
                  <c:v>9.8083333333333337E-5</c:v>
                </c:pt>
                <c:pt idx="24">
                  <c:v>9.5716666666666671E-5</c:v>
                </c:pt>
                <c:pt idx="25">
                  <c:v>9.3716666666666677E-5</c:v>
                </c:pt>
                <c:pt idx="26">
                  <c:v>9.2016666666666676E-5</c:v>
                </c:pt>
                <c:pt idx="27">
                  <c:v>9.0566666666666682E-5</c:v>
                </c:pt>
                <c:pt idx="28">
                  <c:v>8.9318333333333335E-5</c:v>
                </c:pt>
                <c:pt idx="29">
                  <c:v>8.8270000000000021E-5</c:v>
                </c:pt>
              </c:numCache>
            </c:numRef>
          </c:val>
          <c:smooth val="0"/>
        </c:ser>
        <c:ser>
          <c:idx val="12"/>
          <c:order val="12"/>
          <c:marker>
            <c:symbol val="none"/>
          </c:marker>
          <c:val>
            <c:numRef>
              <c:f>Input!$AF$3:$AF$32</c:f>
              <c:numCache>
                <c:formatCode>General</c:formatCode>
                <c:ptCount val="30"/>
                <c:pt idx="0">
                  <c:v>9.0092307692307699E-5</c:v>
                </c:pt>
                <c:pt idx="1">
                  <c:v>9.1138461538461523E-5</c:v>
                </c:pt>
                <c:pt idx="2">
                  <c:v>9.2384615384615392E-5</c:v>
                </c:pt>
                <c:pt idx="3">
                  <c:v>9.3969230769230772E-5</c:v>
                </c:pt>
                <c:pt idx="4">
                  <c:v>9.5630769230769228E-5</c:v>
                </c:pt>
                <c:pt idx="5">
                  <c:v>9.7538461538461529E-5</c:v>
                </c:pt>
                <c:pt idx="6">
                  <c:v>9.9846153846153853E-5</c:v>
                </c:pt>
                <c:pt idx="7">
                  <c:v>1.0215384615384616E-4</c:v>
                </c:pt>
                <c:pt idx="8">
                  <c:v>1.0492307692307693E-4</c:v>
                </c:pt>
                <c:pt idx="9">
                  <c:v>1.0753846153846154E-4</c:v>
                </c:pt>
                <c:pt idx="10">
                  <c:v>1.0984615384615384E-4</c:v>
                </c:pt>
                <c:pt idx="11">
                  <c:v>1.1153846153846153E-4</c:v>
                </c:pt>
                <c:pt idx="12">
                  <c:v>1.1276923076923077E-4</c:v>
                </c:pt>
                <c:pt idx="13">
                  <c:v>1.1353846153846154E-4</c:v>
                </c:pt>
                <c:pt idx="14">
                  <c:v>1.1353846153846154E-4</c:v>
                </c:pt>
                <c:pt idx="15">
                  <c:v>1.1353846153846154E-4</c:v>
                </c:pt>
                <c:pt idx="16">
                  <c:v>1.1323076923076922E-4</c:v>
                </c:pt>
                <c:pt idx="17">
                  <c:v>1.123076923076923E-4</c:v>
                </c:pt>
                <c:pt idx="18">
                  <c:v>1.1092307692307693E-4</c:v>
                </c:pt>
                <c:pt idx="19">
                  <c:v>1.0907692307692307E-4</c:v>
                </c:pt>
                <c:pt idx="20">
                  <c:v>1.0646153846153847E-4</c:v>
                </c:pt>
                <c:pt idx="21">
                  <c:v>1.0369230769230768E-4</c:v>
                </c:pt>
                <c:pt idx="22">
                  <c:v>1.0092307692307693E-4</c:v>
                </c:pt>
                <c:pt idx="23">
                  <c:v>9.8153846153846148E-5</c:v>
                </c:pt>
                <c:pt idx="24">
                  <c:v>9.5846153846153865E-5</c:v>
                </c:pt>
                <c:pt idx="25">
                  <c:v>9.3800000000000017E-5</c:v>
                </c:pt>
                <c:pt idx="26">
                  <c:v>9.204615384615384E-5</c:v>
                </c:pt>
                <c:pt idx="27">
                  <c:v>9.05076923076923E-5</c:v>
                </c:pt>
                <c:pt idx="28">
                  <c:v>8.9169230769230778E-5</c:v>
                </c:pt>
                <c:pt idx="29">
                  <c:v>8.8015384615384616E-5</c:v>
                </c:pt>
              </c:numCache>
            </c:numRef>
          </c:val>
          <c:smooth val="0"/>
        </c:ser>
        <c:ser>
          <c:idx val="13"/>
          <c:order val="13"/>
          <c:marker>
            <c:symbol val="none"/>
          </c:marker>
          <c:val>
            <c:numRef>
              <c:f>Input!$AG$3:$AG$32</c:f>
              <c:numCache>
                <c:formatCode>General</c:formatCode>
                <c:ptCount val="30"/>
                <c:pt idx="0">
                  <c:v>8.9714285714285715E-5</c:v>
                </c:pt>
                <c:pt idx="1">
                  <c:v>9.0857142857142851E-5</c:v>
                </c:pt>
                <c:pt idx="2">
                  <c:v>9.2142857142857152E-5</c:v>
                </c:pt>
                <c:pt idx="3">
                  <c:v>9.3857142857142856E-5</c:v>
                </c:pt>
                <c:pt idx="4">
                  <c:v>9.557142857142856E-5</c:v>
                </c:pt>
                <c:pt idx="5">
                  <c:v>9.7571428571428568E-5</c:v>
                </c:pt>
                <c:pt idx="6">
                  <c:v>9.9714285714285714E-5</c:v>
                </c:pt>
                <c:pt idx="7">
                  <c:v>1.0200000000000001E-4</c:v>
                </c:pt>
                <c:pt idx="8">
                  <c:v>1.0471428571428571E-4</c:v>
                </c:pt>
                <c:pt idx="9">
                  <c:v>1.07E-4</c:v>
                </c:pt>
                <c:pt idx="10">
                  <c:v>1.0914285714285713E-4</c:v>
                </c:pt>
                <c:pt idx="11">
                  <c:v>1.1057142857142857E-4</c:v>
                </c:pt>
                <c:pt idx="12">
                  <c:v>1.1171428571428569E-4</c:v>
                </c:pt>
                <c:pt idx="13">
                  <c:v>1.1228571428571428E-4</c:v>
                </c:pt>
                <c:pt idx="14">
                  <c:v>1.1228571428571428E-4</c:v>
                </c:pt>
                <c:pt idx="15">
                  <c:v>1.1228571428571428E-4</c:v>
                </c:pt>
                <c:pt idx="16">
                  <c:v>1.12E-4</c:v>
                </c:pt>
                <c:pt idx="17">
                  <c:v>1.1128571428571426E-4</c:v>
                </c:pt>
                <c:pt idx="18">
                  <c:v>1.1014285714285714E-4</c:v>
                </c:pt>
                <c:pt idx="19">
                  <c:v>1.0842857142857143E-4</c:v>
                </c:pt>
                <c:pt idx="20">
                  <c:v>1.06E-4</c:v>
                </c:pt>
                <c:pt idx="21">
                  <c:v>1.0342857142857141E-4</c:v>
                </c:pt>
                <c:pt idx="22">
                  <c:v>1.0085714285714285E-4</c:v>
                </c:pt>
                <c:pt idx="23">
                  <c:v>9.8285714285714274E-5</c:v>
                </c:pt>
                <c:pt idx="24">
                  <c:v>9.5857142857142864E-5</c:v>
                </c:pt>
                <c:pt idx="25">
                  <c:v>9.3857142857142856E-5</c:v>
                </c:pt>
                <c:pt idx="26">
                  <c:v>9.2E-5</c:v>
                </c:pt>
                <c:pt idx="27">
                  <c:v>9.0428571428571421E-5</c:v>
                </c:pt>
                <c:pt idx="28">
                  <c:v>8.9042857142857131E-5</c:v>
                </c:pt>
                <c:pt idx="29">
                  <c:v>8.7799999999999993E-5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17440"/>
        <c:axId val="92718976"/>
      </c:lineChart>
      <c:catAx>
        <c:axId val="92717440"/>
        <c:scaling>
          <c:orientation val="minMax"/>
        </c:scaling>
        <c:delete val="0"/>
        <c:axPos val="b"/>
        <c:majorTickMark val="out"/>
        <c:minorTickMark val="none"/>
        <c:tickLblPos val="nextTo"/>
        <c:crossAx val="92718976"/>
        <c:crosses val="autoZero"/>
        <c:auto val="1"/>
        <c:lblAlgn val="ctr"/>
        <c:lblOffset val="100"/>
        <c:noMultiLvlLbl val="0"/>
      </c:catAx>
      <c:valAx>
        <c:axId val="92718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2717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flux!$C$3:$Y$3</c:f>
              <c:numCache>
                <c:formatCode>General</c:formatCode>
                <c:ptCount val="23"/>
                <c:pt idx="0">
                  <c:v>-40</c:v>
                </c:pt>
                <c:pt idx="1">
                  <c:v>-30</c:v>
                </c:pt>
                <c:pt idx="2">
                  <c:v>-20</c:v>
                </c:pt>
                <c:pt idx="3">
                  <c:v>-10</c:v>
                </c:pt>
                <c:pt idx="4">
                  <c:v>0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110</c:v>
                </c:pt>
                <c:pt idx="16">
                  <c:v>120</c:v>
                </c:pt>
                <c:pt idx="17">
                  <c:v>130</c:v>
                </c:pt>
                <c:pt idx="18">
                  <c:v>140</c:v>
                </c:pt>
                <c:pt idx="19">
                  <c:v>150</c:v>
                </c:pt>
                <c:pt idx="20">
                  <c:v>160</c:v>
                </c:pt>
                <c:pt idx="21">
                  <c:v>170</c:v>
                </c:pt>
                <c:pt idx="22">
                  <c:v>180</c:v>
                </c:pt>
              </c:numCache>
            </c:numRef>
          </c:xVal>
          <c:yVal>
            <c:numRef>
              <c:f>flux!$C$4:$Y$4</c:f>
              <c:numCache>
                <c:formatCode>General</c:formatCode>
                <c:ptCount val="23"/>
                <c:pt idx="0">
                  <c:v>1.0860000000000001</c:v>
                </c:pt>
                <c:pt idx="1">
                  <c:v>1.073</c:v>
                </c:pt>
                <c:pt idx="2">
                  <c:v>1.0589999999999999</c:v>
                </c:pt>
                <c:pt idx="3">
                  <c:v>1.046</c:v>
                </c:pt>
                <c:pt idx="4">
                  <c:v>1.032</c:v>
                </c:pt>
                <c:pt idx="5">
                  <c:v>1.0189999999999999</c:v>
                </c:pt>
                <c:pt idx="6">
                  <c:v>1</c:v>
                </c:pt>
                <c:pt idx="7">
                  <c:v>0.99199999999999999</c:v>
                </c:pt>
                <c:pt idx="8">
                  <c:v>0.97599999999999998</c:v>
                </c:pt>
                <c:pt idx="9">
                  <c:v>0.96</c:v>
                </c:pt>
                <c:pt idx="10">
                  <c:v>0.94399999999999995</c:v>
                </c:pt>
                <c:pt idx="11">
                  <c:v>0.93100000000000005</c:v>
                </c:pt>
                <c:pt idx="12">
                  <c:v>0.91700000000000004</c:v>
                </c:pt>
                <c:pt idx="13">
                  <c:v>0.90300000000000002</c:v>
                </c:pt>
                <c:pt idx="14">
                  <c:v>0.89</c:v>
                </c:pt>
                <c:pt idx="15">
                  <c:v>0.876</c:v>
                </c:pt>
                <c:pt idx="16">
                  <c:v>0.86199999999999999</c:v>
                </c:pt>
                <c:pt idx="17">
                  <c:v>0.84899999999999998</c:v>
                </c:pt>
                <c:pt idx="18">
                  <c:v>0.83399999999999996</c:v>
                </c:pt>
                <c:pt idx="19">
                  <c:v>0.82299999999999995</c:v>
                </c:pt>
                <c:pt idx="20">
                  <c:v>0.81200000000000006</c:v>
                </c:pt>
                <c:pt idx="21">
                  <c:v>0.79100000000000004</c:v>
                </c:pt>
                <c:pt idx="22">
                  <c:v>0.76900000000000002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69600"/>
        <c:axId val="102617472"/>
      </c:scatterChart>
      <c:valAx>
        <c:axId val="9296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2617472"/>
        <c:crosses val="autoZero"/>
        <c:crossBetween val="midCat"/>
      </c:valAx>
      <c:valAx>
        <c:axId val="102617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29696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MTPA!$B$4:$B$24</c:f>
              <c:numCache>
                <c:formatCode>General</c:formatCode>
                <c:ptCount val="2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</c:numCache>
            </c:numRef>
          </c:xVal>
          <c:yVal>
            <c:numRef>
              <c:f>MTPA!$I$4:$I$24</c:f>
              <c:numCache>
                <c:formatCode>General</c:formatCode>
                <c:ptCount val="21"/>
                <c:pt idx="0">
                  <c:v>0</c:v>
                </c:pt>
                <c:pt idx="1">
                  <c:v>-17</c:v>
                </c:pt>
                <c:pt idx="2">
                  <c:v>-34</c:v>
                </c:pt>
                <c:pt idx="3">
                  <c:v>-50</c:v>
                </c:pt>
                <c:pt idx="4">
                  <c:v>-67</c:v>
                </c:pt>
                <c:pt idx="5">
                  <c:v>-86</c:v>
                </c:pt>
                <c:pt idx="6">
                  <c:v>-104</c:v>
                </c:pt>
                <c:pt idx="7">
                  <c:v>-125</c:v>
                </c:pt>
                <c:pt idx="8">
                  <c:v>-146</c:v>
                </c:pt>
                <c:pt idx="9">
                  <c:v>-164</c:v>
                </c:pt>
                <c:pt idx="10">
                  <c:v>-184</c:v>
                </c:pt>
                <c:pt idx="11">
                  <c:v>-207</c:v>
                </c:pt>
                <c:pt idx="12">
                  <c:v>-229</c:v>
                </c:pt>
                <c:pt idx="13">
                  <c:v>-250</c:v>
                </c:pt>
                <c:pt idx="14">
                  <c:v>-271</c:v>
                </c:pt>
                <c:pt idx="15">
                  <c:v>-295</c:v>
                </c:pt>
                <c:pt idx="16">
                  <c:v>-317</c:v>
                </c:pt>
                <c:pt idx="17">
                  <c:v>-342</c:v>
                </c:pt>
                <c:pt idx="18">
                  <c:v>-362</c:v>
                </c:pt>
                <c:pt idx="19">
                  <c:v>-384</c:v>
                </c:pt>
                <c:pt idx="20">
                  <c:v>-410</c:v>
                </c:pt>
              </c:numCache>
            </c:numRef>
          </c:yVal>
          <c:smooth val="1"/>
        </c:ser>
        <c:ser>
          <c:idx val="1"/>
          <c:order val="1"/>
          <c:xVal>
            <c:numRef>
              <c:f>MTPA!$B$4:$B$24</c:f>
              <c:numCache>
                <c:formatCode>General</c:formatCode>
                <c:ptCount val="2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</c:numCache>
            </c:numRef>
          </c:xVal>
          <c:yVal>
            <c:numRef>
              <c:f>MTPA!$H$4:$H$24</c:f>
              <c:numCache>
                <c:formatCode>General</c:formatCode>
                <c:ptCount val="21"/>
                <c:pt idx="0">
                  <c:v>0</c:v>
                </c:pt>
                <c:pt idx="1">
                  <c:v>-16.187293258811451</c:v>
                </c:pt>
                <c:pt idx="2">
                  <c:v>-32.239135394091477</c:v>
                </c:pt>
                <c:pt idx="3">
                  <c:v>-47.968233147028627</c:v>
                </c:pt>
                <c:pt idx="4">
                  <c:v>-64.697330899965777</c:v>
                </c:pt>
                <c:pt idx="5">
                  <c:v>-82.613721911714379</c:v>
                </c:pt>
                <c:pt idx="6">
                  <c:v>-100.07191741758868</c:v>
                </c:pt>
                <c:pt idx="7">
                  <c:v>-120.12375955286871</c:v>
                </c:pt>
                <c:pt idx="8">
                  <c:v>-140.31105281168016</c:v>
                </c:pt>
                <c:pt idx="9">
                  <c:v>-158.44650393521158</c:v>
                </c:pt>
                <c:pt idx="10">
                  <c:v>-179</c:v>
                </c:pt>
                <c:pt idx="11">
                  <c:v>-200.63379719402303</c:v>
                </c:pt>
                <c:pt idx="12">
                  <c:v>-222.22744382342876</c:v>
                </c:pt>
                <c:pt idx="13">
                  <c:v>-242.27928595870878</c:v>
                </c:pt>
                <c:pt idx="14">
                  <c:v>-263.00838371164593</c:v>
                </c:pt>
                <c:pt idx="15">
                  <c:v>-286.19567697045738</c:v>
                </c:pt>
                <c:pt idx="16">
                  <c:v>-307.65387247633168</c:v>
                </c:pt>
                <c:pt idx="17">
                  <c:v>-334</c:v>
                </c:pt>
                <c:pt idx="18">
                  <c:v>-351.97661685867456</c:v>
                </c:pt>
                <c:pt idx="19">
                  <c:v>-373.02845899395459</c:v>
                </c:pt>
                <c:pt idx="20">
                  <c:v>-397.80939888217176</c:v>
                </c:pt>
              </c:numCache>
            </c:numRef>
          </c:yVal>
          <c:smooth val="1"/>
        </c:ser>
        <c:ser>
          <c:idx val="2"/>
          <c:order val="2"/>
          <c:xVal>
            <c:numRef>
              <c:f>MTPA!$B$4:$B$24</c:f>
              <c:numCache>
                <c:formatCode>General</c:formatCode>
                <c:ptCount val="2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</c:numCache>
            </c:numRef>
          </c:xVal>
          <c:yVal>
            <c:numRef>
              <c:f>MTPA!$G$4:$G$24</c:f>
              <c:numCache>
                <c:formatCode>General</c:formatCode>
                <c:ptCount val="21"/>
                <c:pt idx="0">
                  <c:v>0</c:v>
                </c:pt>
                <c:pt idx="1">
                  <c:v>-15.067297821375615</c:v>
                </c:pt>
                <c:pt idx="2">
                  <c:v>-29.812478612980499</c:v>
                </c:pt>
                <c:pt idx="3">
                  <c:v>-45.168244553439038</c:v>
                </c:pt>
                <c:pt idx="4">
                  <c:v>-61.52401049389757</c:v>
                </c:pt>
                <c:pt idx="5">
                  <c:v>-77.947074255731721</c:v>
                </c:pt>
                <c:pt idx="6">
                  <c:v>-94.6586061366488</c:v>
                </c:pt>
                <c:pt idx="7">
                  <c:v>-113.40378692825368</c:v>
                </c:pt>
                <c:pt idx="8">
                  <c:v>-132.47108474962931</c:v>
                </c:pt>
                <c:pt idx="9">
                  <c:v>-150.79320177940002</c:v>
                </c:pt>
                <c:pt idx="10">
                  <c:v>-170.14896771985858</c:v>
                </c:pt>
                <c:pt idx="11">
                  <c:v>-191.86049960077565</c:v>
                </c:pt>
                <c:pt idx="12">
                  <c:v>-212.89414851146344</c:v>
                </c:pt>
                <c:pt idx="13">
                  <c:v>-231.63932930306834</c:v>
                </c:pt>
                <c:pt idx="14">
                  <c:v>-251.99509524352686</c:v>
                </c:pt>
                <c:pt idx="15">
                  <c:v>-274.06239306490249</c:v>
                </c:pt>
                <c:pt idx="16">
                  <c:v>-294.77392494581954</c:v>
                </c:pt>
                <c:pt idx="17">
                  <c:v>-317</c:v>
                </c:pt>
                <c:pt idx="18">
                  <c:v>-342</c:v>
                </c:pt>
                <c:pt idx="19">
                  <c:v>-357.90852058857081</c:v>
                </c:pt>
                <c:pt idx="20">
                  <c:v>-381.0094673206342</c:v>
                </c:pt>
              </c:numCache>
            </c:numRef>
          </c:yVal>
          <c:smooth val="1"/>
        </c:ser>
        <c:ser>
          <c:idx val="3"/>
          <c:order val="3"/>
          <c:xVal>
            <c:numRef>
              <c:f>MTPA!$B$4:$B$24</c:f>
              <c:numCache>
                <c:formatCode>General</c:formatCode>
                <c:ptCount val="2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</c:numCache>
            </c:numRef>
          </c:xVal>
          <c:yVal>
            <c:numRef>
              <c:f>MTPA!$F$4:$F$24</c:f>
              <c:numCache>
                <c:formatCode>General</c:formatCode>
                <c:ptCount val="21"/>
                <c:pt idx="0">
                  <c:v>0</c:v>
                </c:pt>
                <c:pt idx="1">
                  <c:v>-14.05047336603171</c:v>
                </c:pt>
                <c:pt idx="2">
                  <c:v>-27.609358959735371</c:v>
                </c:pt>
                <c:pt idx="3">
                  <c:v>-44</c:v>
                </c:pt>
                <c:pt idx="4">
                  <c:v>-58.643007870423176</c:v>
                </c:pt>
                <c:pt idx="5">
                  <c:v>-72</c:v>
                </c:pt>
                <c:pt idx="6">
                  <c:v>-89.743954602486596</c:v>
                </c:pt>
                <c:pt idx="7">
                  <c:v>-107</c:v>
                </c:pt>
                <c:pt idx="8">
                  <c:v>-125.35331356222197</c:v>
                </c:pt>
                <c:pt idx="9">
                  <c:v>-145</c:v>
                </c:pt>
                <c:pt idx="10">
                  <c:v>-164</c:v>
                </c:pt>
                <c:pt idx="11">
                  <c:v>-185</c:v>
                </c:pt>
                <c:pt idx="12">
                  <c:v>-204.42061138359759</c:v>
                </c:pt>
                <c:pt idx="13">
                  <c:v>-222</c:v>
                </c:pt>
                <c:pt idx="14">
                  <c:v>-241.99632143264515</c:v>
                </c:pt>
                <c:pt idx="15">
                  <c:v>-257</c:v>
                </c:pt>
                <c:pt idx="16">
                  <c:v>-279</c:v>
                </c:pt>
                <c:pt idx="17">
                  <c:v>-301</c:v>
                </c:pt>
                <c:pt idx="18">
                  <c:v>-327</c:v>
                </c:pt>
                <c:pt idx="19">
                  <c:v>-348</c:v>
                </c:pt>
                <c:pt idx="20">
                  <c:v>-372</c:v>
                </c:pt>
              </c:numCache>
            </c:numRef>
          </c:yVal>
          <c:smooth val="1"/>
        </c:ser>
        <c:ser>
          <c:idx val="4"/>
          <c:order val="4"/>
          <c:xVal>
            <c:numRef>
              <c:f>MTPA!$B$4:$B$24</c:f>
              <c:numCache>
                <c:formatCode>General</c:formatCode>
                <c:ptCount val="2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</c:numCache>
            </c:numRef>
          </c:xVal>
          <c:yVal>
            <c:numRef>
              <c:f>MTPA!$E$4:$E$24</c:f>
              <c:numCache>
                <c:formatCode>General</c:formatCode>
                <c:ptCount val="21"/>
                <c:pt idx="0">
                  <c:v>0</c:v>
                </c:pt>
                <c:pt idx="1">
                  <c:v>-13.033648910687809</c:v>
                </c:pt>
                <c:pt idx="2">
                  <c:v>-25.406239306490249</c:v>
                </c:pt>
                <c:pt idx="3">
                  <c:v>-40.084122276719519</c:v>
                </c:pt>
                <c:pt idx="4">
                  <c:v>-55.762005246948789</c:v>
                </c:pt>
                <c:pt idx="5">
                  <c:v>-69.473537127865868</c:v>
                </c:pt>
                <c:pt idx="6">
                  <c:v>-84.829303068324407</c:v>
                </c:pt>
                <c:pt idx="7">
                  <c:v>-101.20189346412685</c:v>
                </c:pt>
                <c:pt idx="8">
                  <c:v>-118.23554237481466</c:v>
                </c:pt>
                <c:pt idx="9">
                  <c:v>-136.89660088970004</c:v>
                </c:pt>
                <c:pt idx="10">
                  <c:v>-157</c:v>
                </c:pt>
                <c:pt idx="11">
                  <c:v>-175.93024980038783</c:v>
                </c:pt>
                <c:pt idx="12">
                  <c:v>-195.94707425573174</c:v>
                </c:pt>
                <c:pt idx="13">
                  <c:v>-212.3196646515342</c:v>
                </c:pt>
                <c:pt idx="14">
                  <c:v>-231.99754762176343</c:v>
                </c:pt>
                <c:pt idx="15">
                  <c:v>-252.03119653245125</c:v>
                </c:pt>
                <c:pt idx="16">
                  <c:v>-271.38696247290977</c:v>
                </c:pt>
                <c:pt idx="17">
                  <c:v>-289</c:v>
                </c:pt>
                <c:pt idx="18">
                  <c:v>-313.08166989848297</c:v>
                </c:pt>
                <c:pt idx="19">
                  <c:v>-330.4542602942854</c:v>
                </c:pt>
                <c:pt idx="20">
                  <c:v>-350.50473366031713</c:v>
                </c:pt>
              </c:numCache>
            </c:numRef>
          </c:yVal>
          <c:smooth val="1"/>
        </c:ser>
        <c:ser>
          <c:idx val="5"/>
          <c:order val="5"/>
          <c:xVal>
            <c:numRef>
              <c:f>MTPA!$B$4:$B$24</c:f>
              <c:numCache>
                <c:formatCode>General</c:formatCode>
                <c:ptCount val="2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</c:numCache>
            </c:numRef>
          </c:xVal>
          <c:yVal>
            <c:numRef>
              <c:f>MTPA!$D$4:$D$24</c:f>
              <c:numCache>
                <c:formatCode>General</c:formatCode>
                <c:ptCount val="21"/>
                <c:pt idx="0">
                  <c:v>0</c:v>
                </c:pt>
                <c:pt idx="1">
                  <c:v>-12.016824455343905</c:v>
                </c:pt>
                <c:pt idx="2">
                  <c:v>-23.203119653245125</c:v>
                </c:pt>
                <c:pt idx="3">
                  <c:v>-37.542061138359756</c:v>
                </c:pt>
                <c:pt idx="4">
                  <c:v>-52.881002623474394</c:v>
                </c:pt>
                <c:pt idx="5">
                  <c:v>-65.236768563932941</c:v>
                </c:pt>
                <c:pt idx="6">
                  <c:v>-79.914651534162203</c:v>
                </c:pt>
                <c:pt idx="7">
                  <c:v>-95.10094673206342</c:v>
                </c:pt>
                <c:pt idx="8">
                  <c:v>-111.11777118740733</c:v>
                </c:pt>
                <c:pt idx="9">
                  <c:v>-129.94830044485002</c:v>
                </c:pt>
                <c:pt idx="10">
                  <c:v>-150</c:v>
                </c:pt>
                <c:pt idx="11">
                  <c:v>-167.96512490019393</c:v>
                </c:pt>
                <c:pt idx="12">
                  <c:v>-187.47353712786588</c:v>
                </c:pt>
                <c:pt idx="13">
                  <c:v>-202.6598323257671</c:v>
                </c:pt>
                <c:pt idx="14">
                  <c:v>-221.99877381088174</c:v>
                </c:pt>
                <c:pt idx="15">
                  <c:v>-241.01559826622562</c:v>
                </c:pt>
                <c:pt idx="16">
                  <c:v>-259.69348123645489</c:v>
                </c:pt>
                <c:pt idx="17">
                  <c:v>-280</c:v>
                </c:pt>
                <c:pt idx="18">
                  <c:v>-300.54083494924146</c:v>
                </c:pt>
                <c:pt idx="19">
                  <c:v>-316.7271301471427</c:v>
                </c:pt>
                <c:pt idx="20">
                  <c:v>-335.25236683015856</c:v>
                </c:pt>
              </c:numCache>
            </c:numRef>
          </c:yVal>
          <c:smooth val="1"/>
        </c:ser>
        <c:ser>
          <c:idx val="6"/>
          <c:order val="6"/>
          <c:xVal>
            <c:numRef>
              <c:f>MTPA!$B$4:$B$24</c:f>
              <c:numCache>
                <c:formatCode>General</c:formatCode>
                <c:ptCount val="2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</c:numCache>
            </c:numRef>
          </c:xVal>
          <c:yVal>
            <c:numRef>
              <c:f>MTPA!$C$4:$C$24</c:f>
              <c:numCache>
                <c:formatCode>General</c:formatCode>
                <c:ptCount val="21"/>
                <c:pt idx="0">
                  <c:v>0</c:v>
                </c:pt>
                <c:pt idx="1">
                  <c:v>-11</c:v>
                </c:pt>
                <c:pt idx="2">
                  <c:v>-21</c:v>
                </c:pt>
                <c:pt idx="3">
                  <c:v>-35</c:v>
                </c:pt>
                <c:pt idx="4">
                  <c:v>-50</c:v>
                </c:pt>
                <c:pt idx="5">
                  <c:v>-61</c:v>
                </c:pt>
                <c:pt idx="6">
                  <c:v>-75</c:v>
                </c:pt>
                <c:pt idx="7">
                  <c:v>-89</c:v>
                </c:pt>
                <c:pt idx="8">
                  <c:v>-104</c:v>
                </c:pt>
                <c:pt idx="9">
                  <c:v>-123</c:v>
                </c:pt>
                <c:pt idx="10">
                  <c:v>-141</c:v>
                </c:pt>
                <c:pt idx="11">
                  <c:v>-160</c:v>
                </c:pt>
                <c:pt idx="12">
                  <c:v>-179</c:v>
                </c:pt>
                <c:pt idx="13">
                  <c:v>-193</c:v>
                </c:pt>
                <c:pt idx="14">
                  <c:v>-212</c:v>
                </c:pt>
                <c:pt idx="15">
                  <c:v>-230</c:v>
                </c:pt>
                <c:pt idx="16">
                  <c:v>-248</c:v>
                </c:pt>
                <c:pt idx="17">
                  <c:v>-269</c:v>
                </c:pt>
                <c:pt idx="18">
                  <c:v>-288</c:v>
                </c:pt>
                <c:pt idx="19">
                  <c:v>-303</c:v>
                </c:pt>
                <c:pt idx="20">
                  <c:v>-320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67968"/>
        <c:axId val="92873856"/>
      </c:scatterChart>
      <c:valAx>
        <c:axId val="9286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2873856"/>
        <c:crosses val="autoZero"/>
        <c:crossBetween val="midCat"/>
      </c:valAx>
      <c:valAx>
        <c:axId val="92873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28679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摩擦扭矩!$B$2:$B$33</c:f>
              <c:numCache>
                <c:formatCode>General</c:formatCode>
                <c:ptCount val="32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  <c:pt idx="31">
                  <c:v>15500</c:v>
                </c:pt>
              </c:numCache>
            </c:numRef>
          </c:xVal>
          <c:yVal>
            <c:numRef>
              <c:f>摩擦扭矩!$C$2:$C$33</c:f>
              <c:numCache>
                <c:formatCode>General</c:formatCode>
                <c:ptCount val="32"/>
                <c:pt idx="1">
                  <c:v>0.33400000000000002</c:v>
                </c:pt>
                <c:pt idx="2">
                  <c:v>0.46300000000000002</c:v>
                </c:pt>
                <c:pt idx="3">
                  <c:v>0.51100000000000001</c:v>
                </c:pt>
                <c:pt idx="4">
                  <c:v>0.55400000000000005</c:v>
                </c:pt>
                <c:pt idx="5">
                  <c:v>0.56699999999999995</c:v>
                </c:pt>
                <c:pt idx="6">
                  <c:v>0.58699999999999997</c:v>
                </c:pt>
                <c:pt idx="7">
                  <c:v>0.60199999999999998</c:v>
                </c:pt>
                <c:pt idx="8">
                  <c:v>0.61699999999999999</c:v>
                </c:pt>
                <c:pt idx="9">
                  <c:v>0.66</c:v>
                </c:pt>
                <c:pt idx="10">
                  <c:v>0.7</c:v>
                </c:pt>
                <c:pt idx="11">
                  <c:v>0.73399999999999999</c:v>
                </c:pt>
                <c:pt idx="12">
                  <c:v>0.76400000000000001</c:v>
                </c:pt>
                <c:pt idx="13">
                  <c:v>0.79</c:v>
                </c:pt>
                <c:pt idx="14">
                  <c:v>0.81499999999999995</c:v>
                </c:pt>
                <c:pt idx="15">
                  <c:v>0.83699999999999997</c:v>
                </c:pt>
                <c:pt idx="16">
                  <c:v>0.873</c:v>
                </c:pt>
                <c:pt idx="17">
                  <c:v>0.91200000000000003</c:v>
                </c:pt>
                <c:pt idx="18">
                  <c:v>0.93400000000000005</c:v>
                </c:pt>
                <c:pt idx="19">
                  <c:v>0.91300000000000003</c:v>
                </c:pt>
                <c:pt idx="20">
                  <c:v>0.9</c:v>
                </c:pt>
                <c:pt idx="21">
                  <c:v>0.879</c:v>
                </c:pt>
                <c:pt idx="22">
                  <c:v>0.84699999999999998</c:v>
                </c:pt>
                <c:pt idx="23">
                  <c:v>0.86299999999999999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79488"/>
        <c:axId val="107655168"/>
      </c:scatterChart>
      <c:valAx>
        <c:axId val="9287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655168"/>
        <c:crosses val="autoZero"/>
        <c:crossBetween val="midCat"/>
      </c:valAx>
      <c:valAx>
        <c:axId val="107655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2879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340178</xdr:colOff>
      <xdr:row>11</xdr:row>
      <xdr:rowOff>23132</xdr:rowOff>
    </xdr:from>
    <xdr:to>
      <xdr:col>40</xdr:col>
      <xdr:colOff>149678</xdr:colOff>
      <xdr:row>26</xdr:row>
      <xdr:rowOff>112939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5</xdr:row>
      <xdr:rowOff>147637</xdr:rowOff>
    </xdr:from>
    <xdr:to>
      <xdr:col>13</xdr:col>
      <xdr:colOff>466725</xdr:colOff>
      <xdr:row>20</xdr:row>
      <xdr:rowOff>176212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8</xdr:row>
      <xdr:rowOff>61912</xdr:rowOff>
    </xdr:from>
    <xdr:to>
      <xdr:col>16</xdr:col>
      <xdr:colOff>533400</xdr:colOff>
      <xdr:row>23</xdr:row>
      <xdr:rowOff>90487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231322</xdr:colOff>
      <xdr:row>4</xdr:row>
      <xdr:rowOff>50346</xdr:rowOff>
    </xdr:from>
    <xdr:to>
      <xdr:col>10</xdr:col>
      <xdr:colOff>40822</xdr:colOff>
      <xdr:row>19</xdr:row>
      <xdr:rowOff>140153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"/>
  <sheetViews>
    <sheetView topLeftCell="A34" zoomScale="70" zoomScaleNormal="70" zoomScaleSheetLayoutView="100" workbookViewId="0">
      <selection activeCell="C70" sqref="C70"/>
    </sheetView>
  </sheetViews>
  <sheetFormatPr defaultRowHeight="14.25" x14ac:dyDescent="0.15"/>
  <cols>
    <col min="1" max="1" width="9" style="1"/>
    <col min="12" max="16" width="9.375" bestFit="1" customWidth="1"/>
  </cols>
  <sheetData>
    <row r="1" spans="1:33" x14ac:dyDescent="0.15">
      <c r="A1" s="3"/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R1" t="s">
        <v>4</v>
      </c>
    </row>
    <row r="2" spans="1:33" s="1" customFormat="1" x14ac:dyDescent="0.15">
      <c r="A2" s="3" t="s">
        <v>1</v>
      </c>
      <c r="B2" s="3">
        <v>-5</v>
      </c>
      <c r="C2" s="3">
        <v>-50</v>
      </c>
      <c r="D2" s="3">
        <v>-100</v>
      </c>
      <c r="E2" s="3">
        <v>-150</v>
      </c>
      <c r="F2" s="3">
        <v>-200</v>
      </c>
      <c r="G2" s="3">
        <v>-250</v>
      </c>
      <c r="H2" s="3">
        <v>-300</v>
      </c>
      <c r="I2" s="3">
        <v>-350</v>
      </c>
      <c r="J2" s="3">
        <v>-400</v>
      </c>
      <c r="K2" s="3">
        <v>-450</v>
      </c>
      <c r="L2" s="3">
        <v>-500</v>
      </c>
      <c r="M2" s="3">
        <v>-550</v>
      </c>
      <c r="N2" s="3">
        <v>-600</v>
      </c>
      <c r="O2" s="3">
        <v>-650</v>
      </c>
      <c r="P2" s="3">
        <v>-700</v>
      </c>
      <c r="S2" s="3">
        <v>0</v>
      </c>
      <c r="T2" s="3">
        <v>-50</v>
      </c>
      <c r="U2" s="3">
        <v>-100</v>
      </c>
      <c r="V2" s="3">
        <v>-150</v>
      </c>
      <c r="W2" s="3">
        <v>-200</v>
      </c>
      <c r="X2" s="3">
        <v>-250</v>
      </c>
      <c r="Y2" s="3">
        <v>-300</v>
      </c>
      <c r="Z2" s="3">
        <v>-350</v>
      </c>
      <c r="AA2" s="3">
        <v>-400</v>
      </c>
      <c r="AB2" s="3">
        <v>-450</v>
      </c>
      <c r="AC2" s="3">
        <v>-500</v>
      </c>
      <c r="AD2" s="3">
        <v>-550</v>
      </c>
      <c r="AE2" s="3">
        <v>-600</v>
      </c>
      <c r="AF2" s="3">
        <v>-650</v>
      </c>
      <c r="AG2" s="3">
        <v>-700</v>
      </c>
    </row>
    <row r="3" spans="1:33" x14ac:dyDescent="0.15">
      <c r="A3" s="3">
        <v>-700</v>
      </c>
      <c r="B3" s="4">
        <v>5.26</v>
      </c>
      <c r="C3" s="4">
        <v>4.5199999999999996</v>
      </c>
      <c r="D3" s="4">
        <v>4.08</v>
      </c>
      <c r="E3" s="4">
        <v>3.64</v>
      </c>
      <c r="F3" s="4">
        <v>3.21</v>
      </c>
      <c r="G3" s="4">
        <v>2.79</v>
      </c>
      <c r="H3" s="4">
        <v>2.36</v>
      </c>
      <c r="I3" s="4">
        <v>1.94</v>
      </c>
      <c r="J3" s="4">
        <v>1.52</v>
      </c>
      <c r="K3" s="4">
        <v>1.1000000000000001</v>
      </c>
      <c r="L3" s="4">
        <v>0.68</v>
      </c>
      <c r="M3" s="4">
        <v>0.25600000000000001</v>
      </c>
      <c r="N3" s="4">
        <v>-0.17</v>
      </c>
      <c r="O3" s="4">
        <v>-0.59599999999999997</v>
      </c>
      <c r="P3" s="4">
        <v>-1.02</v>
      </c>
      <c r="R3" s="3">
        <v>-700</v>
      </c>
      <c r="S3">
        <v>1.4800000000000005E-4</v>
      </c>
      <c r="T3">
        <f>-($B3-C3)/C$2/100</f>
        <v>1.4800000000000005E-4</v>
      </c>
      <c r="U3">
        <f t="shared" ref="U3:AG3" si="0">-($B3-D3)/D$2/100</f>
        <v>1.1799999999999998E-4</v>
      </c>
      <c r="V3">
        <f t="shared" si="0"/>
        <v>1.0799999999999997E-4</v>
      </c>
      <c r="W3">
        <f t="shared" si="0"/>
        <v>1.0249999999999998E-4</v>
      </c>
      <c r="X3">
        <f t="shared" si="0"/>
        <v>9.8799999999999976E-5</v>
      </c>
      <c r="Y3">
        <f t="shared" si="0"/>
        <v>9.6666666666666667E-5</v>
      </c>
      <c r="Z3">
        <f t="shared" si="0"/>
        <v>9.4857142857142853E-5</v>
      </c>
      <c r="AA3">
        <f t="shared" si="0"/>
        <v>9.3499999999999996E-5</v>
      </c>
      <c r="AB3">
        <f t="shared" si="0"/>
        <v>9.2444444444444434E-5</v>
      </c>
      <c r="AC3">
        <f t="shared" si="0"/>
        <v>9.1600000000000004E-5</v>
      </c>
      <c r="AD3">
        <f t="shared" si="0"/>
        <v>9.0981818181818183E-5</v>
      </c>
      <c r="AE3">
        <f t="shared" si="0"/>
        <v>9.0499999999999991E-5</v>
      </c>
      <c r="AF3">
        <f t="shared" si="0"/>
        <v>9.0092307692307699E-5</v>
      </c>
      <c r="AG3">
        <f t="shared" si="0"/>
        <v>8.9714285714285715E-5</v>
      </c>
    </row>
    <row r="4" spans="1:33" x14ac:dyDescent="0.15">
      <c r="A4" s="3">
        <v>-650</v>
      </c>
      <c r="B4" s="4">
        <v>5.27</v>
      </c>
      <c r="C4" s="4">
        <v>4.5999999999999996</v>
      </c>
      <c r="D4" s="4">
        <v>4.1500000000000004</v>
      </c>
      <c r="E4" s="4">
        <v>3.71</v>
      </c>
      <c r="F4" s="4">
        <v>3.27</v>
      </c>
      <c r="G4" s="4">
        <v>2.83</v>
      </c>
      <c r="H4" s="4">
        <v>2.39</v>
      </c>
      <c r="I4" s="4">
        <v>1.96</v>
      </c>
      <c r="J4" s="4">
        <v>1.53</v>
      </c>
      <c r="K4" s="4">
        <v>1.1000000000000001</v>
      </c>
      <c r="L4" s="4">
        <v>0.66</v>
      </c>
      <c r="M4" s="4">
        <v>0.223</v>
      </c>
      <c r="N4" s="4">
        <v>-0.215</v>
      </c>
      <c r="O4" s="4">
        <v>-0.65400000000000003</v>
      </c>
      <c r="P4" s="4">
        <v>-1.0900000000000001</v>
      </c>
      <c r="R4" s="3">
        <v>-650</v>
      </c>
      <c r="S4">
        <v>1.3399999999999998E-4</v>
      </c>
      <c r="T4">
        <f t="shared" ref="T4:T32" si="1">-($B4-C4)/C$2/100</f>
        <v>1.3399999999999998E-4</v>
      </c>
      <c r="U4">
        <f t="shared" ref="U4:U32" si="2">-($B4-D4)/D$2/100</f>
        <v>1.1199999999999993E-4</v>
      </c>
      <c r="V4">
        <f t="shared" ref="V4:V32" si="3">-($B4-E4)/E$2/100</f>
        <v>1.0399999999999998E-4</v>
      </c>
      <c r="W4">
        <f t="shared" ref="W4:W32" si="4">-($B4-F4)/F$2/100</f>
        <v>9.9999999999999991E-5</v>
      </c>
      <c r="X4">
        <f t="shared" ref="X4:X32" si="5">-($B4-G4)/G$2/100</f>
        <v>9.7599999999999974E-5</v>
      </c>
      <c r="Y4">
        <f t="shared" ref="Y4:Y32" si="6">-($B4-H4)/H$2/100</f>
        <v>9.5999999999999975E-5</v>
      </c>
      <c r="Z4">
        <f t="shared" ref="Z4:Z32" si="7">-($B4-I4)/I$2/100</f>
        <v>9.4571428571428562E-5</v>
      </c>
      <c r="AA4">
        <f t="shared" ref="AA4:AA32" si="8">-($B4-J4)/J$2/100</f>
        <v>9.3499999999999996E-5</v>
      </c>
      <c r="AB4">
        <f t="shared" ref="AB4:AB32" si="9">-($B4-K4)/K$2/100</f>
        <v>9.2666666666666665E-5</v>
      </c>
      <c r="AC4">
        <f t="shared" ref="AC4:AC32" si="10">-($B4-L4)/L$2/100</f>
        <v>9.2199999999999991E-5</v>
      </c>
      <c r="AD4">
        <f t="shared" ref="AD4:AD32" si="11">-($B4-M4)/M$2/100</f>
        <v>9.1763636363636355E-5</v>
      </c>
      <c r="AE4">
        <f t="shared" ref="AE4:AE32" si="12">-($B4-N4)/N$2/100</f>
        <v>9.1416666666666662E-5</v>
      </c>
      <c r="AF4">
        <f t="shared" ref="AF4:AF32" si="13">-($B4-O4)/O$2/100</f>
        <v>9.1138461538461523E-5</v>
      </c>
      <c r="AG4">
        <f t="shared" ref="AG4:AG32" si="14">-($B4-P4)/P$2/100</f>
        <v>9.0857142857142851E-5</v>
      </c>
    </row>
    <row r="5" spans="1:33" x14ac:dyDescent="0.15">
      <c r="A5" s="3">
        <v>-600</v>
      </c>
      <c r="B5" s="4">
        <v>5.28</v>
      </c>
      <c r="C5" s="4">
        <v>4.68</v>
      </c>
      <c r="D5" s="4">
        <v>4.22</v>
      </c>
      <c r="E5" s="4">
        <v>3.77</v>
      </c>
      <c r="F5" s="4">
        <v>3.31</v>
      </c>
      <c r="G5" s="4">
        <v>2.87</v>
      </c>
      <c r="H5" s="4">
        <v>2.42</v>
      </c>
      <c r="I5" s="4">
        <v>1.97</v>
      </c>
      <c r="J5" s="4">
        <v>1.53</v>
      </c>
      <c r="K5" s="4">
        <v>1.08</v>
      </c>
      <c r="L5" s="4">
        <v>0.63</v>
      </c>
      <c r="M5" s="4">
        <v>0.17899999999999999</v>
      </c>
      <c r="N5" s="4">
        <v>-0.27300000000000002</v>
      </c>
      <c r="O5" s="4">
        <v>-0.72499999999999998</v>
      </c>
      <c r="P5" s="4">
        <v>-1.17</v>
      </c>
      <c r="R5" s="3">
        <v>-600</v>
      </c>
      <c r="S5">
        <v>1.2000000000000011E-4</v>
      </c>
      <c r="T5">
        <f t="shared" si="1"/>
        <v>1.2000000000000011E-4</v>
      </c>
      <c r="U5">
        <f t="shared" si="2"/>
        <v>1.0600000000000006E-4</v>
      </c>
      <c r="V5">
        <f t="shared" si="3"/>
        <v>1.0066666666666668E-4</v>
      </c>
      <c r="W5">
        <f t="shared" si="4"/>
        <v>9.8500000000000009E-5</v>
      </c>
      <c r="X5">
        <f t="shared" si="5"/>
        <v>9.6400000000000012E-5</v>
      </c>
      <c r="Y5">
        <f t="shared" si="6"/>
        <v>9.5333333333333351E-5</v>
      </c>
      <c r="Z5">
        <f t="shared" si="7"/>
        <v>9.4571428571428589E-5</v>
      </c>
      <c r="AA5">
        <f t="shared" si="8"/>
        <v>9.3750000000000002E-5</v>
      </c>
      <c r="AB5">
        <f t="shared" si="9"/>
        <v>9.3333333333333343E-5</v>
      </c>
      <c r="AC5">
        <f t="shared" si="10"/>
        <v>9.3000000000000011E-5</v>
      </c>
      <c r="AD5">
        <f t="shared" si="11"/>
        <v>9.2745454545454533E-5</v>
      </c>
      <c r="AE5">
        <f t="shared" si="12"/>
        <v>9.255E-5</v>
      </c>
      <c r="AF5">
        <f t="shared" si="13"/>
        <v>9.2384615384615392E-5</v>
      </c>
      <c r="AG5">
        <f t="shared" si="14"/>
        <v>9.2142857142857152E-5</v>
      </c>
    </row>
    <row r="6" spans="1:33" x14ac:dyDescent="0.15">
      <c r="A6" s="3">
        <v>-550</v>
      </c>
      <c r="B6" s="4">
        <v>5.3</v>
      </c>
      <c r="C6" s="4">
        <v>4.76</v>
      </c>
      <c r="D6" s="4">
        <v>4.29</v>
      </c>
      <c r="E6" s="4">
        <v>3.82</v>
      </c>
      <c r="F6" s="4">
        <v>3.36</v>
      </c>
      <c r="G6" s="4">
        <v>2.89</v>
      </c>
      <c r="H6" s="4">
        <v>2.4300000000000002</v>
      </c>
      <c r="I6" s="4">
        <v>1.98</v>
      </c>
      <c r="J6" s="4">
        <v>1.51</v>
      </c>
      <c r="K6" s="4">
        <v>1.05</v>
      </c>
      <c r="L6" s="4">
        <v>0.58599999999999997</v>
      </c>
      <c r="M6" s="4">
        <v>0.121</v>
      </c>
      <c r="N6" s="4">
        <v>-0.34399999999999997</v>
      </c>
      <c r="O6" s="4">
        <v>-0.80800000000000005</v>
      </c>
      <c r="P6" s="4">
        <v>-1.27</v>
      </c>
      <c r="R6" s="3">
        <v>-550</v>
      </c>
      <c r="S6">
        <v>1.0800000000000001E-4</v>
      </c>
      <c r="T6">
        <f t="shared" si="1"/>
        <v>1.0800000000000001E-4</v>
      </c>
      <c r="U6">
        <f t="shared" si="2"/>
        <v>1.0099999999999997E-4</v>
      </c>
      <c r="V6">
        <f t="shared" si="3"/>
        <v>9.8666666666666662E-5</v>
      </c>
      <c r="W6">
        <f t="shared" si="4"/>
        <v>9.7E-5</v>
      </c>
      <c r="X6">
        <f t="shared" si="5"/>
        <v>9.6399999999999999E-5</v>
      </c>
      <c r="Y6">
        <f t="shared" si="6"/>
        <v>9.5666666666666656E-5</v>
      </c>
      <c r="Z6">
        <f t="shared" si="7"/>
        <v>9.4857142857142853E-5</v>
      </c>
      <c r="AA6">
        <f t="shared" si="8"/>
        <v>9.4750000000000013E-5</v>
      </c>
      <c r="AB6">
        <f t="shared" si="9"/>
        <v>9.4444444444444442E-5</v>
      </c>
      <c r="AC6">
        <f t="shared" si="10"/>
        <v>9.4279999999999985E-5</v>
      </c>
      <c r="AD6">
        <f t="shared" si="11"/>
        <v>9.4163636363636373E-5</v>
      </c>
      <c r="AE6">
        <f t="shared" si="12"/>
        <v>9.4066666666666672E-5</v>
      </c>
      <c r="AF6">
        <f t="shared" si="13"/>
        <v>9.3969230769230772E-5</v>
      </c>
      <c r="AG6">
        <f t="shared" si="14"/>
        <v>9.3857142857142856E-5</v>
      </c>
    </row>
    <row r="7" spans="1:33" x14ac:dyDescent="0.15">
      <c r="A7" s="3">
        <v>-500</v>
      </c>
      <c r="B7" s="4">
        <v>5.31</v>
      </c>
      <c r="C7" s="4">
        <v>4.84</v>
      </c>
      <c r="D7" s="4">
        <v>4.3499999999999996</v>
      </c>
      <c r="E7" s="4">
        <v>3.87</v>
      </c>
      <c r="F7" s="4">
        <v>3.39</v>
      </c>
      <c r="G7" s="4">
        <v>2.91</v>
      </c>
      <c r="H7" s="4">
        <v>2.44</v>
      </c>
      <c r="I7" s="4">
        <v>1.96</v>
      </c>
      <c r="J7" s="4">
        <v>1.49</v>
      </c>
      <c r="K7" s="4">
        <v>1.01</v>
      </c>
      <c r="L7" s="4">
        <v>0.52800000000000002</v>
      </c>
      <c r="M7" s="4">
        <v>4.9000000000000002E-2</v>
      </c>
      <c r="N7" s="4">
        <v>-0.42899999999999999</v>
      </c>
      <c r="O7" s="4">
        <v>-0.90600000000000003</v>
      </c>
      <c r="P7" s="4">
        <v>-1.38</v>
      </c>
      <c r="R7" s="3">
        <v>-500</v>
      </c>
      <c r="S7">
        <v>9.3999999999999954E-5</v>
      </c>
      <c r="T7">
        <f t="shared" si="1"/>
        <v>9.3999999999999954E-5</v>
      </c>
      <c r="U7">
        <f t="shared" si="2"/>
        <v>9.5999999999999989E-5</v>
      </c>
      <c r="V7">
        <f t="shared" si="3"/>
        <v>9.5999999999999975E-5</v>
      </c>
      <c r="W7">
        <f t="shared" si="4"/>
        <v>9.5999999999999975E-5</v>
      </c>
      <c r="X7">
        <f t="shared" si="5"/>
        <v>9.5999999999999975E-5</v>
      </c>
      <c r="Y7">
        <f t="shared" si="6"/>
        <v>9.5666666666666656E-5</v>
      </c>
      <c r="Z7">
        <f t="shared" si="7"/>
        <v>9.5714285714285712E-5</v>
      </c>
      <c r="AA7">
        <f t="shared" si="8"/>
        <v>9.5499999999999977E-5</v>
      </c>
      <c r="AB7">
        <f t="shared" si="9"/>
        <v>9.5555555555555555E-5</v>
      </c>
      <c r="AC7">
        <f t="shared" si="10"/>
        <v>9.5639999999999999E-5</v>
      </c>
      <c r="AD7">
        <f t="shared" si="11"/>
        <v>9.5654545454545439E-5</v>
      </c>
      <c r="AE7">
        <f t="shared" si="12"/>
        <v>9.5650000000000007E-5</v>
      </c>
      <c r="AF7">
        <f t="shared" si="13"/>
        <v>9.5630769230769228E-5</v>
      </c>
      <c r="AG7">
        <f t="shared" si="14"/>
        <v>9.557142857142856E-5</v>
      </c>
    </row>
    <row r="8" spans="1:33" x14ac:dyDescent="0.15">
      <c r="A8" s="3">
        <v>-450</v>
      </c>
      <c r="B8" s="4">
        <v>5.32</v>
      </c>
      <c r="C8" s="4">
        <v>4.9000000000000004</v>
      </c>
      <c r="D8" s="4">
        <v>4.4000000000000004</v>
      </c>
      <c r="E8" s="4">
        <v>3.9</v>
      </c>
      <c r="F8" s="4">
        <v>3.41</v>
      </c>
      <c r="G8" s="4">
        <v>2.92</v>
      </c>
      <c r="H8" s="4">
        <v>2.4300000000000002</v>
      </c>
      <c r="I8" s="4">
        <v>1.94</v>
      </c>
      <c r="J8" s="4">
        <v>1.44</v>
      </c>
      <c r="K8" s="4">
        <v>0.94699999999999995</v>
      </c>
      <c r="L8" s="4">
        <v>0.45200000000000001</v>
      </c>
      <c r="M8" s="4">
        <v>-4.07E-2</v>
      </c>
      <c r="N8" s="4">
        <v>-0.53200000000000003</v>
      </c>
      <c r="O8" s="4">
        <v>-1.02</v>
      </c>
      <c r="P8" s="4">
        <v>-1.51</v>
      </c>
      <c r="R8" s="3">
        <v>-450</v>
      </c>
      <c r="S8">
        <v>8.3999999999999982E-5</v>
      </c>
      <c r="T8">
        <f t="shared" si="1"/>
        <v>8.3999999999999982E-5</v>
      </c>
      <c r="U8">
        <f t="shared" si="2"/>
        <v>9.2E-5</v>
      </c>
      <c r="V8">
        <f t="shared" si="3"/>
        <v>9.4666666666666686E-5</v>
      </c>
      <c r="W8">
        <f t="shared" si="4"/>
        <v>9.5500000000000017E-5</v>
      </c>
      <c r="X8">
        <f t="shared" si="5"/>
        <v>9.6000000000000002E-5</v>
      </c>
      <c r="Y8">
        <f t="shared" si="6"/>
        <v>9.6333333333333335E-5</v>
      </c>
      <c r="Z8">
        <f t="shared" si="7"/>
        <v>9.6571428571428584E-5</v>
      </c>
      <c r="AA8">
        <f t="shared" si="8"/>
        <v>9.7E-5</v>
      </c>
      <c r="AB8">
        <f t="shared" si="9"/>
        <v>9.7177777777777779E-5</v>
      </c>
      <c r="AC8">
        <f t="shared" si="10"/>
        <v>9.7360000000000003E-5</v>
      </c>
      <c r="AD8">
        <f t="shared" si="11"/>
        <v>9.7467272727272739E-5</v>
      </c>
      <c r="AE8">
        <f t="shared" si="12"/>
        <v>9.7533333333333337E-5</v>
      </c>
      <c r="AF8">
        <f t="shared" si="13"/>
        <v>9.7538461538461529E-5</v>
      </c>
      <c r="AG8">
        <f t="shared" si="14"/>
        <v>9.7571428571428568E-5</v>
      </c>
    </row>
    <row r="9" spans="1:33" x14ac:dyDescent="0.15">
      <c r="A9" s="3">
        <v>-400</v>
      </c>
      <c r="B9" s="4">
        <v>5.33</v>
      </c>
      <c r="C9" s="4">
        <v>4.95</v>
      </c>
      <c r="D9" s="4">
        <v>4.4400000000000004</v>
      </c>
      <c r="E9" s="4">
        <v>3.93</v>
      </c>
      <c r="F9" s="4">
        <v>3.42</v>
      </c>
      <c r="G9" s="4">
        <v>2.91</v>
      </c>
      <c r="H9" s="4">
        <v>2.4</v>
      </c>
      <c r="I9" s="4">
        <v>1.89</v>
      </c>
      <c r="J9" s="4">
        <v>1.39</v>
      </c>
      <c r="K9" s="4">
        <v>0.86499999999999999</v>
      </c>
      <c r="L9" s="4">
        <v>0.35499999999999998</v>
      </c>
      <c r="M9" s="4">
        <v>-0.152</v>
      </c>
      <c r="N9" s="4">
        <v>-0.65600000000000003</v>
      </c>
      <c r="O9" s="4">
        <v>-1.1599999999999999</v>
      </c>
      <c r="P9" s="4">
        <v>-1.65</v>
      </c>
      <c r="R9" s="3">
        <v>-400</v>
      </c>
      <c r="S9">
        <v>7.5999999999999977E-5</v>
      </c>
      <c r="T9">
        <f t="shared" si="1"/>
        <v>7.5999999999999977E-5</v>
      </c>
      <c r="U9">
        <f t="shared" si="2"/>
        <v>8.8999999999999968E-5</v>
      </c>
      <c r="V9">
        <f t="shared" si="3"/>
        <v>9.333333333333333E-5</v>
      </c>
      <c r="W9">
        <f t="shared" si="4"/>
        <v>9.5500000000000017E-5</v>
      </c>
      <c r="X9">
        <f t="shared" si="5"/>
        <v>9.6799999999999995E-5</v>
      </c>
      <c r="Y9">
        <f t="shared" si="6"/>
        <v>9.7666666666666664E-5</v>
      </c>
      <c r="Z9">
        <f t="shared" si="7"/>
        <v>9.8285714285714301E-5</v>
      </c>
      <c r="AA9">
        <f t="shared" si="8"/>
        <v>9.8500000000000009E-5</v>
      </c>
      <c r="AB9">
        <f t="shared" si="9"/>
        <v>9.9222222222222211E-5</v>
      </c>
      <c r="AC9">
        <f t="shared" si="10"/>
        <v>9.9499999999999993E-5</v>
      </c>
      <c r="AD9">
        <f t="shared" si="11"/>
        <v>9.9672727272727274E-5</v>
      </c>
      <c r="AE9">
        <f t="shared" si="12"/>
        <v>9.9766666666666661E-5</v>
      </c>
      <c r="AF9">
        <f t="shared" si="13"/>
        <v>9.9846153846153853E-5</v>
      </c>
      <c r="AG9">
        <f t="shared" si="14"/>
        <v>9.9714285714285714E-5</v>
      </c>
    </row>
    <row r="10" spans="1:33" x14ac:dyDescent="0.15">
      <c r="A10" s="3">
        <v>-350</v>
      </c>
      <c r="B10" s="4">
        <v>5.33</v>
      </c>
      <c r="C10" s="4">
        <v>4.99</v>
      </c>
      <c r="D10" s="4">
        <v>4.46</v>
      </c>
      <c r="E10" s="4">
        <v>3.93</v>
      </c>
      <c r="F10" s="4">
        <v>3.4</v>
      </c>
      <c r="G10" s="4">
        <v>2.87</v>
      </c>
      <c r="H10" s="4">
        <v>2.34</v>
      </c>
      <c r="I10" s="4">
        <v>1.81</v>
      </c>
      <c r="J10" s="4">
        <v>1.28</v>
      </c>
      <c r="K10" s="4">
        <v>0.75600000000000001</v>
      </c>
      <c r="L10" s="4">
        <v>0.23200000000000001</v>
      </c>
      <c r="M10" s="4">
        <v>-0.28799999999999998</v>
      </c>
      <c r="N10" s="4">
        <v>-0.80300000000000005</v>
      </c>
      <c r="O10" s="4">
        <v>-1.31</v>
      </c>
      <c r="P10" s="4">
        <v>-1.81</v>
      </c>
      <c r="R10" s="3">
        <v>-350</v>
      </c>
      <c r="S10">
        <v>6.7999999999999972E-5</v>
      </c>
      <c r="T10">
        <f t="shared" si="1"/>
        <v>6.7999999999999972E-5</v>
      </c>
      <c r="U10">
        <f t="shared" si="2"/>
        <v>8.7000000000000014E-5</v>
      </c>
      <c r="V10">
        <f t="shared" si="3"/>
        <v>9.333333333333333E-5</v>
      </c>
      <c r="W10">
        <f t="shared" si="4"/>
        <v>9.6500000000000001E-5</v>
      </c>
      <c r="X10">
        <f t="shared" si="5"/>
        <v>9.8399999999999993E-5</v>
      </c>
      <c r="Y10">
        <f t="shared" si="6"/>
        <v>9.9666666666666672E-5</v>
      </c>
      <c r="Z10">
        <f t="shared" si="7"/>
        <v>1.0057142857142856E-4</v>
      </c>
      <c r="AA10">
        <f t="shared" si="8"/>
        <v>1.0125000000000001E-4</v>
      </c>
      <c r="AB10">
        <f t="shared" si="9"/>
        <v>1.0164444444444444E-4</v>
      </c>
      <c r="AC10">
        <f t="shared" si="10"/>
        <v>1.0196000000000001E-4</v>
      </c>
      <c r="AD10">
        <f t="shared" si="11"/>
        <v>1.0214545454545456E-4</v>
      </c>
      <c r="AE10">
        <f t="shared" si="12"/>
        <v>1.0221666666666667E-4</v>
      </c>
      <c r="AF10">
        <f t="shared" si="13"/>
        <v>1.0215384615384616E-4</v>
      </c>
      <c r="AG10">
        <f t="shared" si="14"/>
        <v>1.0200000000000001E-4</v>
      </c>
    </row>
    <row r="11" spans="1:33" x14ac:dyDescent="0.15">
      <c r="A11" s="3">
        <v>-300</v>
      </c>
      <c r="B11" s="4">
        <v>5.34</v>
      </c>
      <c r="C11" s="4">
        <v>5.0199999999999996</v>
      </c>
      <c r="D11" s="4">
        <v>4.47</v>
      </c>
      <c r="E11" s="4">
        <v>3.92</v>
      </c>
      <c r="F11" s="4">
        <v>3.36</v>
      </c>
      <c r="G11" s="4">
        <v>2.81</v>
      </c>
      <c r="H11" s="4">
        <v>2.25</v>
      </c>
      <c r="I11" s="4">
        <v>1.7</v>
      </c>
      <c r="J11" s="4">
        <v>1.1599999999999999</v>
      </c>
      <c r="K11" s="4">
        <v>0.61699999999999999</v>
      </c>
      <c r="L11" s="4">
        <v>8.2199999999999995E-2</v>
      </c>
      <c r="M11" s="4">
        <v>-0.46400000000000002</v>
      </c>
      <c r="N11" s="4">
        <v>-0.96699999999999997</v>
      </c>
      <c r="O11" s="4">
        <v>-1.48</v>
      </c>
      <c r="P11" s="4">
        <v>-1.99</v>
      </c>
      <c r="R11" s="3">
        <v>-300</v>
      </c>
      <c r="S11">
        <v>6.4000000000000051E-5</v>
      </c>
      <c r="T11">
        <f t="shared" si="1"/>
        <v>6.4000000000000051E-5</v>
      </c>
      <c r="U11">
        <f t="shared" si="2"/>
        <v>8.7000000000000014E-5</v>
      </c>
      <c r="V11">
        <f t="shared" si="3"/>
        <v>9.4666666666666673E-5</v>
      </c>
      <c r="W11">
        <f t="shared" si="4"/>
        <v>9.8999999999999994E-5</v>
      </c>
      <c r="X11">
        <f t="shared" si="5"/>
        <v>1.0119999999999999E-4</v>
      </c>
      <c r="Y11">
        <f t="shared" si="6"/>
        <v>1.03E-4</v>
      </c>
      <c r="Z11">
        <f t="shared" si="7"/>
        <v>1.0399999999999999E-4</v>
      </c>
      <c r="AA11">
        <f t="shared" si="8"/>
        <v>1.0449999999999999E-4</v>
      </c>
      <c r="AB11">
        <f t="shared" si="9"/>
        <v>1.0495555555555555E-4</v>
      </c>
      <c r="AC11">
        <f t="shared" si="10"/>
        <v>1.0515599999999999E-4</v>
      </c>
      <c r="AD11">
        <f t="shared" si="11"/>
        <v>1.0552727272727273E-4</v>
      </c>
      <c r="AE11">
        <f t="shared" si="12"/>
        <v>1.0511666666666666E-4</v>
      </c>
      <c r="AF11">
        <f t="shared" si="13"/>
        <v>1.0492307692307693E-4</v>
      </c>
      <c r="AG11">
        <f t="shared" si="14"/>
        <v>1.0471428571428571E-4</v>
      </c>
    </row>
    <row r="12" spans="1:33" x14ac:dyDescent="0.15">
      <c r="A12" s="3">
        <v>-250</v>
      </c>
      <c r="B12" s="4">
        <v>5.34</v>
      </c>
      <c r="C12" s="4">
        <v>5.0199999999999996</v>
      </c>
      <c r="D12" s="4">
        <v>4.4400000000000004</v>
      </c>
      <c r="E12" s="4">
        <v>3.86</v>
      </c>
      <c r="F12" s="4">
        <v>3.28</v>
      </c>
      <c r="G12" s="4">
        <v>2.7</v>
      </c>
      <c r="H12" s="4">
        <v>2.12</v>
      </c>
      <c r="I12" s="4">
        <v>1.56</v>
      </c>
      <c r="J12" s="4">
        <v>1</v>
      </c>
      <c r="K12" s="4">
        <v>0.45500000000000002</v>
      </c>
      <c r="L12" s="4">
        <v>-8.4099999999999994E-2</v>
      </c>
      <c r="M12" s="4">
        <v>-0.61499999999999999</v>
      </c>
      <c r="N12" s="4">
        <v>-1.1399999999999999</v>
      </c>
      <c r="O12" s="4">
        <v>-1.65</v>
      </c>
      <c r="P12" s="4">
        <v>-2.15</v>
      </c>
      <c r="R12" s="3">
        <v>-250</v>
      </c>
      <c r="S12">
        <v>6.4000000000000051E-5</v>
      </c>
      <c r="T12">
        <f t="shared" si="1"/>
        <v>6.4000000000000051E-5</v>
      </c>
      <c r="U12">
        <f t="shared" si="2"/>
        <v>8.9999999999999938E-5</v>
      </c>
      <c r="V12">
        <f t="shared" si="3"/>
        <v>9.8666666666666662E-5</v>
      </c>
      <c r="W12">
        <f t="shared" si="4"/>
        <v>1.03E-4</v>
      </c>
      <c r="X12">
        <f t="shared" si="5"/>
        <v>1.0559999999999998E-4</v>
      </c>
      <c r="Y12">
        <f t="shared" si="6"/>
        <v>1.0733333333333333E-4</v>
      </c>
      <c r="Z12">
        <f t="shared" si="7"/>
        <v>1.0799999999999998E-4</v>
      </c>
      <c r="AA12">
        <f t="shared" si="8"/>
        <v>1.0850000000000001E-4</v>
      </c>
      <c r="AB12">
        <f t="shared" si="9"/>
        <v>1.0855555555555556E-4</v>
      </c>
      <c r="AC12">
        <f t="shared" si="10"/>
        <v>1.0848200000000001E-4</v>
      </c>
      <c r="AD12">
        <f t="shared" si="11"/>
        <v>1.0827272727272727E-4</v>
      </c>
      <c r="AE12">
        <f t="shared" si="12"/>
        <v>1.0799999999999998E-4</v>
      </c>
      <c r="AF12">
        <f t="shared" si="13"/>
        <v>1.0753846153846154E-4</v>
      </c>
      <c r="AG12">
        <f t="shared" si="14"/>
        <v>1.07E-4</v>
      </c>
    </row>
    <row r="13" spans="1:33" x14ac:dyDescent="0.15">
      <c r="A13" s="3">
        <v>-200</v>
      </c>
      <c r="B13" s="4">
        <v>5.34</v>
      </c>
      <c r="C13" s="4">
        <v>4.9800000000000004</v>
      </c>
      <c r="D13" s="4">
        <v>4.3600000000000003</v>
      </c>
      <c r="E13" s="4">
        <v>3.75</v>
      </c>
      <c r="F13" s="4">
        <v>3.14</v>
      </c>
      <c r="G13" s="4">
        <v>2.5499999999999998</v>
      </c>
      <c r="H13" s="4">
        <v>1.96</v>
      </c>
      <c r="I13" s="4">
        <v>1.4</v>
      </c>
      <c r="J13" s="4">
        <v>0.83899999999999997</v>
      </c>
      <c r="K13" s="4">
        <v>0.29099999999999998</v>
      </c>
      <c r="L13" s="4">
        <v>-0.248</v>
      </c>
      <c r="M13" s="4">
        <v>-0.77700000000000002</v>
      </c>
      <c r="N13" s="4">
        <v>-1.3</v>
      </c>
      <c r="O13" s="4">
        <v>-1.8</v>
      </c>
      <c r="P13" s="4">
        <v>-2.2999999999999998</v>
      </c>
      <c r="R13" s="3">
        <v>-200</v>
      </c>
      <c r="S13">
        <v>7.199999999999988E-5</v>
      </c>
      <c r="T13">
        <f t="shared" si="1"/>
        <v>7.199999999999988E-5</v>
      </c>
      <c r="U13">
        <f t="shared" si="2"/>
        <v>9.7999999999999956E-5</v>
      </c>
      <c r="V13">
        <f t="shared" si="3"/>
        <v>1.0599999999999999E-4</v>
      </c>
      <c r="W13">
        <f t="shared" si="4"/>
        <v>1.0999999999999999E-4</v>
      </c>
      <c r="X13">
        <f t="shared" si="5"/>
        <v>1.116E-4</v>
      </c>
      <c r="Y13">
        <f t="shared" si="6"/>
        <v>1.1266666666666666E-4</v>
      </c>
      <c r="Z13">
        <f t="shared" si="7"/>
        <v>1.1257142857142857E-4</v>
      </c>
      <c r="AA13">
        <f t="shared" si="8"/>
        <v>1.1252499999999998E-4</v>
      </c>
      <c r="AB13">
        <f t="shared" si="9"/>
        <v>1.1219999999999999E-4</v>
      </c>
      <c r="AC13">
        <f t="shared" si="10"/>
        <v>1.1176E-4</v>
      </c>
      <c r="AD13">
        <f t="shared" si="11"/>
        <v>1.1121818181818183E-4</v>
      </c>
      <c r="AE13">
        <f t="shared" si="12"/>
        <v>1.1066666666666666E-4</v>
      </c>
      <c r="AF13">
        <f t="shared" si="13"/>
        <v>1.0984615384615384E-4</v>
      </c>
      <c r="AG13">
        <f t="shared" si="14"/>
        <v>1.0914285714285713E-4</v>
      </c>
    </row>
    <row r="14" spans="1:33" x14ac:dyDescent="0.15">
      <c r="A14" s="3">
        <v>-150</v>
      </c>
      <c r="B14" s="4">
        <v>5.32</v>
      </c>
      <c r="C14" s="4">
        <v>4.88</v>
      </c>
      <c r="D14" s="4">
        <v>4.2300000000000004</v>
      </c>
      <c r="E14" s="4">
        <v>3.6</v>
      </c>
      <c r="F14" s="4">
        <v>2.99</v>
      </c>
      <c r="G14" s="4">
        <v>2.4</v>
      </c>
      <c r="H14" s="4">
        <v>1.82</v>
      </c>
      <c r="I14" s="4">
        <v>1.25</v>
      </c>
      <c r="J14" s="4">
        <v>0.69199999999999995</v>
      </c>
      <c r="K14" s="4">
        <v>0.14499999999999999</v>
      </c>
      <c r="L14" s="4">
        <v>-0.39200000000000002</v>
      </c>
      <c r="M14" s="4">
        <v>-0.91600000000000004</v>
      </c>
      <c r="N14" s="4">
        <v>-1.43</v>
      </c>
      <c r="O14" s="4">
        <v>-1.93</v>
      </c>
      <c r="P14" s="4">
        <v>-2.42</v>
      </c>
      <c r="R14" s="3">
        <v>-150</v>
      </c>
      <c r="S14">
        <v>8.8000000000000079E-5</v>
      </c>
      <c r="T14">
        <f t="shared" si="1"/>
        <v>8.8000000000000079E-5</v>
      </c>
      <c r="U14">
        <f t="shared" si="2"/>
        <v>1.0899999999999998E-4</v>
      </c>
      <c r="V14">
        <f t="shared" si="3"/>
        <v>1.1466666666666668E-4</v>
      </c>
      <c r="W14">
        <f t="shared" si="4"/>
        <v>1.1650000000000001E-4</v>
      </c>
      <c r="X14">
        <f t="shared" si="5"/>
        <v>1.1680000000000001E-4</v>
      </c>
      <c r="Y14">
        <f t="shared" si="6"/>
        <v>1.1666666666666667E-4</v>
      </c>
      <c r="Z14">
        <f t="shared" si="7"/>
        <v>1.1628571428571429E-4</v>
      </c>
      <c r="AA14">
        <f t="shared" si="8"/>
        <v>1.1570000000000001E-4</v>
      </c>
      <c r="AB14">
        <f t="shared" si="9"/>
        <v>1.1500000000000002E-4</v>
      </c>
      <c r="AC14">
        <f t="shared" si="10"/>
        <v>1.1424000000000002E-4</v>
      </c>
      <c r="AD14">
        <f t="shared" si="11"/>
        <v>1.133818181818182E-4</v>
      </c>
      <c r="AE14">
        <f t="shared" si="12"/>
        <v>1.125E-4</v>
      </c>
      <c r="AF14">
        <f t="shared" si="13"/>
        <v>1.1153846153846153E-4</v>
      </c>
      <c r="AG14">
        <f t="shared" si="14"/>
        <v>1.1057142857142857E-4</v>
      </c>
    </row>
    <row r="15" spans="1:33" x14ac:dyDescent="0.15">
      <c r="A15" s="3">
        <v>-100</v>
      </c>
      <c r="B15" s="4">
        <v>5.31</v>
      </c>
      <c r="C15" s="4">
        <v>4.7699999999999996</v>
      </c>
      <c r="D15" s="4">
        <v>4.12</v>
      </c>
      <c r="E15" s="4">
        <v>3.49</v>
      </c>
      <c r="F15" s="4">
        <v>2.88</v>
      </c>
      <c r="G15" s="4">
        <v>2.2799999999999998</v>
      </c>
      <c r="H15" s="4">
        <v>1.7</v>
      </c>
      <c r="I15" s="4">
        <v>1.1299999999999999</v>
      </c>
      <c r="J15" s="4">
        <v>0.57399999999999995</v>
      </c>
      <c r="K15" s="4">
        <v>3.0300000000000001E-2</v>
      </c>
      <c r="L15" s="4">
        <v>-0.501</v>
      </c>
      <c r="M15" s="4">
        <v>-1.02</v>
      </c>
      <c r="N15" s="4">
        <v>-1.53</v>
      </c>
      <c r="O15" s="4">
        <v>-2.02</v>
      </c>
      <c r="P15" s="4">
        <v>-2.5099999999999998</v>
      </c>
      <c r="R15" s="3">
        <v>-100</v>
      </c>
      <c r="S15">
        <v>1.0800000000000001E-4</v>
      </c>
      <c r="T15">
        <f t="shared" si="1"/>
        <v>1.0800000000000001E-4</v>
      </c>
      <c r="U15">
        <f t="shared" si="2"/>
        <v>1.1899999999999995E-4</v>
      </c>
      <c r="V15">
        <f t="shared" si="3"/>
        <v>1.2133333333333329E-4</v>
      </c>
      <c r="W15">
        <f t="shared" si="4"/>
        <v>1.215E-4</v>
      </c>
      <c r="X15">
        <f t="shared" si="5"/>
        <v>1.2119999999999999E-4</v>
      </c>
      <c r="Y15">
        <f t="shared" si="6"/>
        <v>1.2033333333333332E-4</v>
      </c>
      <c r="Z15">
        <f t="shared" si="7"/>
        <v>1.1942857142857142E-4</v>
      </c>
      <c r="AA15">
        <f t="shared" si="8"/>
        <v>1.184E-4</v>
      </c>
      <c r="AB15">
        <f t="shared" si="9"/>
        <v>1.1732666666666665E-4</v>
      </c>
      <c r="AC15">
        <f t="shared" si="10"/>
        <v>1.1622000000000001E-4</v>
      </c>
      <c r="AD15">
        <f t="shared" si="11"/>
        <v>1.150909090909091E-4</v>
      </c>
      <c r="AE15">
        <f t="shared" si="12"/>
        <v>1.1400000000000001E-4</v>
      </c>
      <c r="AF15">
        <f t="shared" si="13"/>
        <v>1.1276923076923077E-4</v>
      </c>
      <c r="AG15">
        <f t="shared" si="14"/>
        <v>1.1171428571428569E-4</v>
      </c>
    </row>
    <row r="16" spans="1:33" x14ac:dyDescent="0.15">
      <c r="A16" s="3">
        <v>-50</v>
      </c>
      <c r="B16" s="4">
        <v>5.3</v>
      </c>
      <c r="C16" s="4">
        <v>4.71</v>
      </c>
      <c r="D16" s="4">
        <v>4.0599999999999996</v>
      </c>
      <c r="E16" s="4">
        <v>3.43</v>
      </c>
      <c r="F16" s="4">
        <v>2.81</v>
      </c>
      <c r="G16" s="4">
        <v>2.21</v>
      </c>
      <c r="H16" s="4">
        <v>1.63</v>
      </c>
      <c r="I16" s="4">
        <v>1.05</v>
      </c>
      <c r="J16" s="4">
        <v>0.499</v>
      </c>
      <c r="K16" s="4">
        <v>-4.1399999999999999E-2</v>
      </c>
      <c r="L16" s="4">
        <v>-0.56699999999999995</v>
      </c>
      <c r="M16" s="4">
        <v>-1.08</v>
      </c>
      <c r="N16" s="4">
        <v>-1.58</v>
      </c>
      <c r="O16" s="4">
        <v>-2.08</v>
      </c>
      <c r="P16" s="4">
        <v>-2.56</v>
      </c>
      <c r="R16" s="3">
        <v>-50</v>
      </c>
      <c r="S16">
        <v>1.1799999999999998E-4</v>
      </c>
      <c r="T16">
        <f t="shared" si="1"/>
        <v>1.1799999999999998E-4</v>
      </c>
      <c r="U16">
        <f t="shared" si="2"/>
        <v>1.2400000000000001E-4</v>
      </c>
      <c r="V16">
        <f t="shared" si="3"/>
        <v>1.2466666666666664E-4</v>
      </c>
      <c r="W16">
        <f t="shared" si="4"/>
        <v>1.2449999999999999E-4</v>
      </c>
      <c r="X16">
        <f t="shared" si="5"/>
        <v>1.236E-4</v>
      </c>
      <c r="Y16">
        <f t="shared" si="6"/>
        <v>1.2233333333333334E-4</v>
      </c>
      <c r="Z16">
        <f t="shared" si="7"/>
        <v>1.2142857142857143E-4</v>
      </c>
      <c r="AA16">
        <f t="shared" si="8"/>
        <v>1.20025E-4</v>
      </c>
      <c r="AB16">
        <f t="shared" si="9"/>
        <v>1.1869777777777778E-4</v>
      </c>
      <c r="AC16">
        <f t="shared" si="10"/>
        <v>1.1734E-4</v>
      </c>
      <c r="AD16">
        <f t="shared" si="11"/>
        <v>1.1599999999999999E-4</v>
      </c>
      <c r="AE16">
        <f t="shared" si="12"/>
        <v>1.1466666666666667E-4</v>
      </c>
      <c r="AF16">
        <f t="shared" si="13"/>
        <v>1.1353846153846154E-4</v>
      </c>
      <c r="AG16">
        <f t="shared" si="14"/>
        <v>1.1228571428571428E-4</v>
      </c>
    </row>
    <row r="17" spans="1:33" x14ac:dyDescent="0.15">
      <c r="A17" s="3">
        <v>-5</v>
      </c>
      <c r="B17" s="4">
        <v>5.29</v>
      </c>
      <c r="C17" s="4">
        <v>4.6900000000000004</v>
      </c>
      <c r="D17" s="4">
        <v>4.1500000000000004</v>
      </c>
      <c r="E17" s="4">
        <v>3.42</v>
      </c>
      <c r="F17" s="4">
        <v>2.8</v>
      </c>
      <c r="G17" s="4">
        <v>2.19</v>
      </c>
      <c r="H17" s="4">
        <v>1.6</v>
      </c>
      <c r="I17" s="4">
        <v>1.03</v>
      </c>
      <c r="J17" s="4">
        <v>0.47599999999999998</v>
      </c>
      <c r="K17" s="4">
        <v>-6.1499999999999999E-2</v>
      </c>
      <c r="L17" s="4">
        <v>-0.58499999999999996</v>
      </c>
      <c r="M17" s="4">
        <v>-1.1000000000000001</v>
      </c>
      <c r="N17" s="4">
        <v>-1.6</v>
      </c>
      <c r="O17" s="4">
        <v>-2.09</v>
      </c>
      <c r="P17" s="4">
        <v>-2.57</v>
      </c>
      <c r="R17" s="3">
        <v>-5</v>
      </c>
      <c r="S17">
        <v>1.1999999999999994E-4</v>
      </c>
      <c r="T17">
        <f t="shared" si="1"/>
        <v>1.1999999999999994E-4</v>
      </c>
      <c r="U17">
        <f t="shared" si="2"/>
        <v>1.1399999999999997E-4</v>
      </c>
      <c r="V17">
        <f t="shared" si="3"/>
        <v>1.2466666666666667E-4</v>
      </c>
      <c r="W17">
        <f t="shared" si="4"/>
        <v>1.2450000000000002E-4</v>
      </c>
      <c r="X17">
        <f t="shared" si="5"/>
        <v>1.2400000000000001E-4</v>
      </c>
      <c r="Y17">
        <f t="shared" si="6"/>
        <v>1.2300000000000001E-4</v>
      </c>
      <c r="Z17">
        <f t="shared" si="7"/>
        <v>1.2171428571428571E-4</v>
      </c>
      <c r="AA17">
        <f t="shared" si="8"/>
        <v>1.2035000000000001E-4</v>
      </c>
      <c r="AB17">
        <f t="shared" si="9"/>
        <v>1.189222222222222E-4</v>
      </c>
      <c r="AC17">
        <f t="shared" si="10"/>
        <v>1.175E-4</v>
      </c>
      <c r="AD17">
        <f t="shared" si="11"/>
        <v>1.1618181818181819E-4</v>
      </c>
      <c r="AE17">
        <f t="shared" si="12"/>
        <v>1.1483333333333335E-4</v>
      </c>
      <c r="AF17">
        <f t="shared" si="13"/>
        <v>1.1353846153846154E-4</v>
      </c>
      <c r="AG17">
        <f t="shared" si="14"/>
        <v>1.1228571428571428E-4</v>
      </c>
    </row>
    <row r="18" spans="1:33" x14ac:dyDescent="0.15">
      <c r="A18" s="3">
        <v>5</v>
      </c>
      <c r="B18" s="4">
        <v>5.29</v>
      </c>
      <c r="C18" s="4">
        <v>4.6900000000000004</v>
      </c>
      <c r="D18" s="4">
        <v>4.05</v>
      </c>
      <c r="E18" s="4">
        <v>3.42</v>
      </c>
      <c r="F18" s="4">
        <v>2.8</v>
      </c>
      <c r="G18" s="4">
        <v>2.19</v>
      </c>
      <c r="H18" s="4">
        <v>1.6</v>
      </c>
      <c r="I18" s="4">
        <v>1.03</v>
      </c>
      <c r="J18" s="4">
        <v>0.47799999999999998</v>
      </c>
      <c r="K18" s="4">
        <v>-0.06</v>
      </c>
      <c r="L18" s="4">
        <v>-0.58399999999999996</v>
      </c>
      <c r="M18" s="4">
        <v>-1.0900000000000001</v>
      </c>
      <c r="N18" s="4">
        <v>-1.6</v>
      </c>
      <c r="O18" s="4">
        <v>-2.09</v>
      </c>
      <c r="P18" s="4">
        <v>-2.57</v>
      </c>
      <c r="R18" s="3">
        <v>5</v>
      </c>
      <c r="S18">
        <v>1.1999999999999994E-4</v>
      </c>
      <c r="T18">
        <f t="shared" si="1"/>
        <v>1.1999999999999994E-4</v>
      </c>
      <c r="U18">
        <f t="shared" si="2"/>
        <v>1.2400000000000001E-4</v>
      </c>
      <c r="V18">
        <f t="shared" si="3"/>
        <v>1.2466666666666667E-4</v>
      </c>
      <c r="W18">
        <f t="shared" si="4"/>
        <v>1.2450000000000002E-4</v>
      </c>
      <c r="X18">
        <f t="shared" si="5"/>
        <v>1.2400000000000001E-4</v>
      </c>
      <c r="Y18">
        <f t="shared" si="6"/>
        <v>1.2300000000000001E-4</v>
      </c>
      <c r="Z18">
        <f t="shared" si="7"/>
        <v>1.2171428571428571E-4</v>
      </c>
      <c r="AA18">
        <f t="shared" si="8"/>
        <v>1.2030000000000001E-4</v>
      </c>
      <c r="AB18">
        <f t="shared" si="9"/>
        <v>1.1888888888888888E-4</v>
      </c>
      <c r="AC18">
        <f t="shared" si="10"/>
        <v>1.1747999999999999E-4</v>
      </c>
      <c r="AD18">
        <f t="shared" si="11"/>
        <v>1.1599999999999999E-4</v>
      </c>
      <c r="AE18">
        <f t="shared" si="12"/>
        <v>1.1483333333333335E-4</v>
      </c>
      <c r="AF18">
        <f t="shared" si="13"/>
        <v>1.1353846153846154E-4</v>
      </c>
      <c r="AG18">
        <f t="shared" si="14"/>
        <v>1.1228571428571428E-4</v>
      </c>
    </row>
    <row r="19" spans="1:33" x14ac:dyDescent="0.15">
      <c r="A19" s="3">
        <v>50</v>
      </c>
      <c r="B19" s="4">
        <v>5.3</v>
      </c>
      <c r="C19" s="4">
        <v>4.72</v>
      </c>
      <c r="D19" s="4">
        <v>4.07</v>
      </c>
      <c r="E19" s="4">
        <v>3.44</v>
      </c>
      <c r="F19" s="4">
        <v>2.83</v>
      </c>
      <c r="G19" s="4">
        <v>2.23</v>
      </c>
      <c r="H19" s="4">
        <v>1.64</v>
      </c>
      <c r="I19" s="4">
        <v>1.07</v>
      </c>
      <c r="J19" s="4">
        <v>0.51400000000000001</v>
      </c>
      <c r="K19" s="4">
        <v>-2.5899999999999999E-2</v>
      </c>
      <c r="L19" s="4">
        <v>-0.55100000000000005</v>
      </c>
      <c r="M19" s="4">
        <v>-1.06</v>
      </c>
      <c r="N19" s="4">
        <v>-1.57</v>
      </c>
      <c r="O19" s="4">
        <v>-2.06</v>
      </c>
      <c r="P19" s="4">
        <v>-2.54</v>
      </c>
      <c r="R19" s="3">
        <v>50</v>
      </c>
      <c r="S19">
        <v>1.1600000000000001E-4</v>
      </c>
      <c r="T19">
        <f t="shared" si="1"/>
        <v>1.1600000000000001E-4</v>
      </c>
      <c r="U19">
        <f t="shared" si="2"/>
        <v>1.2299999999999995E-4</v>
      </c>
      <c r="V19">
        <f t="shared" si="3"/>
        <v>1.2400000000000001E-4</v>
      </c>
      <c r="W19">
        <f t="shared" si="4"/>
        <v>1.2349999999999999E-4</v>
      </c>
      <c r="X19">
        <f t="shared" si="5"/>
        <v>1.228E-4</v>
      </c>
      <c r="Y19">
        <f t="shared" si="6"/>
        <v>1.2200000000000001E-4</v>
      </c>
      <c r="Z19">
        <f t="shared" si="7"/>
        <v>1.2085714285714285E-4</v>
      </c>
      <c r="AA19">
        <f t="shared" si="8"/>
        <v>1.1964999999999998E-4</v>
      </c>
      <c r="AB19">
        <f t="shared" si="9"/>
        <v>1.1835333333333333E-4</v>
      </c>
      <c r="AC19">
        <f t="shared" si="10"/>
        <v>1.1702E-4</v>
      </c>
      <c r="AD19">
        <f t="shared" si="11"/>
        <v>1.1563636363636363E-4</v>
      </c>
      <c r="AE19">
        <f t="shared" si="12"/>
        <v>1.145E-4</v>
      </c>
      <c r="AF19">
        <f t="shared" si="13"/>
        <v>1.1323076923076922E-4</v>
      </c>
      <c r="AG19">
        <f t="shared" si="14"/>
        <v>1.12E-4</v>
      </c>
    </row>
    <row r="20" spans="1:33" x14ac:dyDescent="0.15">
      <c r="A20" s="3">
        <v>100</v>
      </c>
      <c r="B20" s="4">
        <v>5.31</v>
      </c>
      <c r="C20" s="4">
        <v>4.8</v>
      </c>
      <c r="D20" s="4">
        <v>4.1500000000000004</v>
      </c>
      <c r="E20" s="4">
        <v>3.52</v>
      </c>
      <c r="F20" s="4">
        <v>2.91</v>
      </c>
      <c r="G20" s="4">
        <v>2.31</v>
      </c>
      <c r="H20" s="4">
        <v>1.73</v>
      </c>
      <c r="I20" s="4">
        <v>1.1599999999999999</v>
      </c>
      <c r="J20" s="4">
        <v>0.60399999999999998</v>
      </c>
      <c r="K20" s="4">
        <v>6.0299999999999999E-2</v>
      </c>
      <c r="L20" s="4">
        <v>-0.47099999999999997</v>
      </c>
      <c r="M20" s="4">
        <v>-0.98799999999999999</v>
      </c>
      <c r="N20" s="4">
        <v>-1.49</v>
      </c>
      <c r="O20" s="4">
        <v>-1.99</v>
      </c>
      <c r="P20" s="4">
        <v>-2.48</v>
      </c>
      <c r="R20" s="3">
        <v>100</v>
      </c>
      <c r="S20">
        <v>1.0199999999999996E-4</v>
      </c>
      <c r="T20">
        <f t="shared" si="1"/>
        <v>1.0199999999999996E-4</v>
      </c>
      <c r="U20">
        <f t="shared" si="2"/>
        <v>1.1599999999999992E-4</v>
      </c>
      <c r="V20">
        <f t="shared" si="3"/>
        <v>1.1933333333333331E-4</v>
      </c>
      <c r="W20">
        <f t="shared" si="4"/>
        <v>1.1999999999999996E-4</v>
      </c>
      <c r="X20">
        <f t="shared" si="5"/>
        <v>1.1999999999999999E-4</v>
      </c>
      <c r="Y20">
        <f t="shared" si="6"/>
        <v>1.1933333333333332E-4</v>
      </c>
      <c r="Z20">
        <f t="shared" si="7"/>
        <v>1.1857142857142856E-4</v>
      </c>
      <c r="AA20">
        <f t="shared" si="8"/>
        <v>1.1765E-4</v>
      </c>
      <c r="AB20">
        <f t="shared" si="9"/>
        <v>1.1666E-4</v>
      </c>
      <c r="AC20">
        <f t="shared" si="10"/>
        <v>1.1561999999999999E-4</v>
      </c>
      <c r="AD20">
        <f t="shared" si="11"/>
        <v>1.1450909090909091E-4</v>
      </c>
      <c r="AE20">
        <f t="shared" si="12"/>
        <v>1.1333333333333333E-4</v>
      </c>
      <c r="AF20">
        <f t="shared" si="13"/>
        <v>1.123076923076923E-4</v>
      </c>
      <c r="AG20">
        <f t="shared" si="14"/>
        <v>1.1128571428571426E-4</v>
      </c>
    </row>
    <row r="21" spans="1:33" x14ac:dyDescent="0.15">
      <c r="A21" s="3">
        <v>150</v>
      </c>
      <c r="B21" s="4">
        <v>5.33</v>
      </c>
      <c r="C21" s="4">
        <v>4.92</v>
      </c>
      <c r="D21" s="4">
        <v>4.2699999999999996</v>
      </c>
      <c r="E21" s="4">
        <v>3.65</v>
      </c>
      <c r="F21" s="4">
        <v>3.04</v>
      </c>
      <c r="G21" s="4">
        <v>2.44</v>
      </c>
      <c r="H21" s="4">
        <v>1.86</v>
      </c>
      <c r="I21" s="4">
        <v>1.29</v>
      </c>
      <c r="J21" s="4">
        <v>0.73599999999999999</v>
      </c>
      <c r="K21" s="4">
        <v>0.189</v>
      </c>
      <c r="L21" s="4">
        <v>-0.34699999999999998</v>
      </c>
      <c r="M21" s="4">
        <v>-0.871</v>
      </c>
      <c r="N21" s="4">
        <v>-1.38</v>
      </c>
      <c r="O21" s="4">
        <v>-1.88</v>
      </c>
      <c r="P21" s="4">
        <v>-2.38</v>
      </c>
      <c r="R21" s="3">
        <v>150</v>
      </c>
      <c r="S21">
        <v>8.2000000000000028E-5</v>
      </c>
      <c r="T21">
        <f t="shared" si="1"/>
        <v>8.2000000000000028E-5</v>
      </c>
      <c r="U21">
        <f t="shared" si="2"/>
        <v>1.0600000000000006E-4</v>
      </c>
      <c r="V21">
        <f t="shared" si="3"/>
        <v>1.1200000000000001E-4</v>
      </c>
      <c r="W21">
        <f t="shared" si="4"/>
        <v>1.145E-4</v>
      </c>
      <c r="X21">
        <f t="shared" si="5"/>
        <v>1.156E-4</v>
      </c>
      <c r="Y21">
        <f t="shared" si="6"/>
        <v>1.1566666666666665E-4</v>
      </c>
      <c r="Z21">
        <f t="shared" si="7"/>
        <v>1.1542857142857143E-4</v>
      </c>
      <c r="AA21">
        <f t="shared" si="8"/>
        <v>1.1485E-4</v>
      </c>
      <c r="AB21">
        <f t="shared" si="9"/>
        <v>1.1424444444444444E-4</v>
      </c>
      <c r="AC21">
        <f t="shared" si="10"/>
        <v>1.1354E-4</v>
      </c>
      <c r="AD21">
        <f t="shared" si="11"/>
        <v>1.1274545454545456E-4</v>
      </c>
      <c r="AE21">
        <f t="shared" si="12"/>
        <v>1.1183333333333333E-4</v>
      </c>
      <c r="AF21">
        <f t="shared" si="13"/>
        <v>1.1092307692307693E-4</v>
      </c>
      <c r="AG21">
        <f t="shared" si="14"/>
        <v>1.1014285714285714E-4</v>
      </c>
    </row>
    <row r="22" spans="1:33" x14ac:dyDescent="0.15">
      <c r="A22" s="3">
        <v>200</v>
      </c>
      <c r="B22" s="4">
        <v>5.35</v>
      </c>
      <c r="C22" s="4">
        <v>5.04</v>
      </c>
      <c r="D22" s="4">
        <v>4.42</v>
      </c>
      <c r="E22" s="4">
        <v>3.81</v>
      </c>
      <c r="F22" s="4">
        <v>3.2</v>
      </c>
      <c r="G22" s="4">
        <v>2.6</v>
      </c>
      <c r="H22" s="4">
        <v>2.02</v>
      </c>
      <c r="I22" s="4">
        <v>1.45</v>
      </c>
      <c r="J22" s="4">
        <v>0.89700000000000002</v>
      </c>
      <c r="K22" s="4">
        <v>0.34899999999999998</v>
      </c>
      <c r="L22" s="4">
        <v>-0.189</v>
      </c>
      <c r="M22" s="4">
        <v>-0.71699999999999997</v>
      </c>
      <c r="N22" s="4">
        <v>-1.24</v>
      </c>
      <c r="O22" s="4">
        <v>-1.74</v>
      </c>
      <c r="P22" s="4">
        <v>-2.2400000000000002</v>
      </c>
      <c r="R22" s="3">
        <v>200</v>
      </c>
      <c r="S22">
        <v>6.1999999999999921E-5</v>
      </c>
      <c r="T22">
        <f t="shared" si="1"/>
        <v>6.1999999999999921E-5</v>
      </c>
      <c r="U22">
        <f t="shared" si="2"/>
        <v>9.299999999999997E-5</v>
      </c>
      <c r="V22">
        <f t="shared" si="3"/>
        <v>1.0266666666666664E-4</v>
      </c>
      <c r="W22">
        <f t="shared" si="4"/>
        <v>1.0749999999999997E-4</v>
      </c>
      <c r="X22">
        <f t="shared" si="5"/>
        <v>1.0999999999999998E-4</v>
      </c>
      <c r="Y22">
        <f t="shared" si="6"/>
        <v>1.1099999999999999E-4</v>
      </c>
      <c r="Z22">
        <f t="shared" si="7"/>
        <v>1.1142857142857142E-4</v>
      </c>
      <c r="AA22">
        <f t="shared" si="8"/>
        <v>1.1132499999999998E-4</v>
      </c>
      <c r="AB22">
        <f t="shared" si="9"/>
        <v>1.1113333333333333E-4</v>
      </c>
      <c r="AC22">
        <f t="shared" si="10"/>
        <v>1.1077999999999999E-4</v>
      </c>
      <c r="AD22">
        <f t="shared" si="11"/>
        <v>1.103090909090909E-4</v>
      </c>
      <c r="AE22">
        <f t="shared" si="12"/>
        <v>1.0983333333333332E-4</v>
      </c>
      <c r="AF22">
        <f t="shared" si="13"/>
        <v>1.0907692307692307E-4</v>
      </c>
      <c r="AG22">
        <f t="shared" si="14"/>
        <v>1.0842857142857143E-4</v>
      </c>
    </row>
    <row r="23" spans="1:33" x14ac:dyDescent="0.15">
      <c r="A23" s="3">
        <v>250</v>
      </c>
      <c r="B23" s="4">
        <v>5.35</v>
      </c>
      <c r="C23" s="4">
        <v>5.09</v>
      </c>
      <c r="D23" s="4">
        <v>4.51</v>
      </c>
      <c r="E23" s="4">
        <v>3.93</v>
      </c>
      <c r="F23" s="4">
        <v>3.35</v>
      </c>
      <c r="G23" s="4">
        <v>2.77</v>
      </c>
      <c r="H23" s="4">
        <v>2.2000000000000002</v>
      </c>
      <c r="I23" s="4">
        <v>1.63</v>
      </c>
      <c r="J23" s="4">
        <v>1.07</v>
      </c>
      <c r="K23" s="4">
        <v>0.52800000000000002</v>
      </c>
      <c r="L23" s="4">
        <v>-9.98E-2</v>
      </c>
      <c r="M23" s="4">
        <v>-0.54</v>
      </c>
      <c r="N23" s="4">
        <v>-1.06</v>
      </c>
      <c r="O23" s="4">
        <v>-1.57</v>
      </c>
      <c r="P23" s="4">
        <v>-2.0699999999999998</v>
      </c>
      <c r="R23" s="3">
        <v>250</v>
      </c>
      <c r="S23">
        <v>5.1999999999999956E-5</v>
      </c>
      <c r="T23">
        <f t="shared" si="1"/>
        <v>5.1999999999999956E-5</v>
      </c>
      <c r="U23">
        <f t="shared" si="2"/>
        <v>8.3999999999999982E-5</v>
      </c>
      <c r="V23">
        <f t="shared" si="3"/>
        <v>9.4666666666666632E-5</v>
      </c>
      <c r="W23">
        <f t="shared" si="4"/>
        <v>9.9999999999999991E-5</v>
      </c>
      <c r="X23">
        <f t="shared" si="5"/>
        <v>1.0319999999999999E-4</v>
      </c>
      <c r="Y23">
        <f t="shared" si="6"/>
        <v>1.0499999999999999E-4</v>
      </c>
      <c r="Z23">
        <f t="shared" si="7"/>
        <v>1.0628571428571428E-4</v>
      </c>
      <c r="AA23">
        <f t="shared" si="8"/>
        <v>1.0699999999999997E-4</v>
      </c>
      <c r="AB23">
        <f t="shared" si="9"/>
        <v>1.0715555555555555E-4</v>
      </c>
      <c r="AC23">
        <f t="shared" si="10"/>
        <v>1.0899599999999998E-4</v>
      </c>
      <c r="AD23">
        <f t="shared" si="11"/>
        <v>1.0709090909090907E-4</v>
      </c>
      <c r="AE23">
        <f t="shared" si="12"/>
        <v>1.0683333333333333E-4</v>
      </c>
      <c r="AF23">
        <f t="shared" si="13"/>
        <v>1.0646153846153847E-4</v>
      </c>
      <c r="AG23">
        <f t="shared" si="14"/>
        <v>1.06E-4</v>
      </c>
    </row>
    <row r="24" spans="1:33" x14ac:dyDescent="0.15">
      <c r="A24" s="3">
        <v>300</v>
      </c>
      <c r="B24" s="4">
        <v>5.35</v>
      </c>
      <c r="C24" s="4">
        <v>5.09</v>
      </c>
      <c r="D24" s="4">
        <v>4.54</v>
      </c>
      <c r="E24" s="4">
        <v>3.99</v>
      </c>
      <c r="F24" s="4">
        <v>3.44</v>
      </c>
      <c r="G24" s="4">
        <v>2.89</v>
      </c>
      <c r="H24" s="4">
        <v>2.34</v>
      </c>
      <c r="I24" s="4">
        <v>1.79</v>
      </c>
      <c r="J24" s="4">
        <v>1.24</v>
      </c>
      <c r="K24" s="4">
        <v>0.70299999999999996</v>
      </c>
      <c r="L24" s="4">
        <v>0.17</v>
      </c>
      <c r="M24" s="4">
        <v>-0.35699999999999998</v>
      </c>
      <c r="N24" s="4">
        <v>-0.877</v>
      </c>
      <c r="O24" s="4">
        <v>-1.39</v>
      </c>
      <c r="P24" s="4">
        <v>-1.89</v>
      </c>
      <c r="R24" s="3">
        <v>300</v>
      </c>
      <c r="S24">
        <v>5.1999999999999956E-5</v>
      </c>
      <c r="T24">
        <f t="shared" si="1"/>
        <v>5.1999999999999956E-5</v>
      </c>
      <c r="U24">
        <f t="shared" si="2"/>
        <v>8.0999999999999963E-5</v>
      </c>
      <c r="V24">
        <f t="shared" si="3"/>
        <v>9.0666666666666616E-5</v>
      </c>
      <c r="W24">
        <f t="shared" si="4"/>
        <v>9.5499999999999977E-5</v>
      </c>
      <c r="X24">
        <f t="shared" si="5"/>
        <v>9.8399999999999979E-5</v>
      </c>
      <c r="Y24">
        <f t="shared" si="6"/>
        <v>1.0033333333333334E-4</v>
      </c>
      <c r="Z24">
        <f t="shared" si="7"/>
        <v>1.0171428571428571E-4</v>
      </c>
      <c r="AA24">
        <f t="shared" si="8"/>
        <v>1.0274999999999999E-4</v>
      </c>
      <c r="AB24">
        <f t="shared" si="9"/>
        <v>1.0326666666666665E-4</v>
      </c>
      <c r="AC24">
        <f t="shared" si="10"/>
        <v>1.036E-4</v>
      </c>
      <c r="AD24">
        <f t="shared" si="11"/>
        <v>1.0376363636363636E-4</v>
      </c>
      <c r="AE24">
        <f t="shared" si="12"/>
        <v>1.0378333333333333E-4</v>
      </c>
      <c r="AF24">
        <f t="shared" si="13"/>
        <v>1.0369230769230768E-4</v>
      </c>
      <c r="AG24">
        <f t="shared" si="14"/>
        <v>1.0342857142857141E-4</v>
      </c>
    </row>
    <row r="25" spans="1:33" x14ac:dyDescent="0.15">
      <c r="A25" s="3">
        <v>350</v>
      </c>
      <c r="B25" s="4">
        <v>5.35</v>
      </c>
      <c r="C25" s="4">
        <v>5.07</v>
      </c>
      <c r="D25" s="4">
        <v>4.54</v>
      </c>
      <c r="E25" s="4">
        <v>4.0199999999999996</v>
      </c>
      <c r="F25" s="4">
        <v>3.49</v>
      </c>
      <c r="G25" s="4">
        <v>2.9</v>
      </c>
      <c r="H25" s="4">
        <v>2.4300000000000002</v>
      </c>
      <c r="I25" s="4">
        <v>1.9</v>
      </c>
      <c r="J25" s="4">
        <v>1.38</v>
      </c>
      <c r="K25" s="4">
        <v>0.85199999999999998</v>
      </c>
      <c r="L25" s="4">
        <v>0.33</v>
      </c>
      <c r="M25" s="4">
        <v>-0.188</v>
      </c>
      <c r="N25" s="4">
        <v>-0.70099999999999996</v>
      </c>
      <c r="O25" s="4">
        <v>-1.21</v>
      </c>
      <c r="P25" s="4">
        <v>-1.71</v>
      </c>
      <c r="R25" s="3">
        <v>350</v>
      </c>
      <c r="S25">
        <v>5.599999999999987E-5</v>
      </c>
      <c r="T25">
        <f t="shared" si="1"/>
        <v>5.599999999999987E-5</v>
      </c>
      <c r="U25">
        <f t="shared" si="2"/>
        <v>8.0999999999999963E-5</v>
      </c>
      <c r="V25">
        <f t="shared" si="3"/>
        <v>8.8666666666666663E-5</v>
      </c>
      <c r="W25">
        <f t="shared" si="4"/>
        <v>9.299999999999997E-5</v>
      </c>
      <c r="X25">
        <f t="shared" si="5"/>
        <v>9.7999999999999997E-5</v>
      </c>
      <c r="Y25">
        <f t="shared" si="6"/>
        <v>9.7333333333333318E-5</v>
      </c>
      <c r="Z25">
        <f t="shared" si="7"/>
        <v>9.8571428571428565E-5</v>
      </c>
      <c r="AA25">
        <f t="shared" si="8"/>
        <v>9.925E-5</v>
      </c>
      <c r="AB25">
        <f t="shared" si="9"/>
        <v>9.995555555555554E-5</v>
      </c>
      <c r="AC25">
        <f t="shared" si="10"/>
        <v>1.0039999999999999E-4</v>
      </c>
      <c r="AD25">
        <f t="shared" si="11"/>
        <v>1.0069090909090908E-4</v>
      </c>
      <c r="AE25">
        <f t="shared" si="12"/>
        <v>1.0084999999999998E-4</v>
      </c>
      <c r="AF25">
        <f t="shared" si="13"/>
        <v>1.0092307692307693E-4</v>
      </c>
      <c r="AG25">
        <f t="shared" si="14"/>
        <v>1.0085714285714285E-4</v>
      </c>
    </row>
    <row r="26" spans="1:33" x14ac:dyDescent="0.15">
      <c r="A26" s="3">
        <v>400</v>
      </c>
      <c r="B26" s="4">
        <v>5.34</v>
      </c>
      <c r="C26" s="4">
        <v>5.04</v>
      </c>
      <c r="D26" s="4">
        <v>4.53</v>
      </c>
      <c r="E26" s="4">
        <v>4.0199999999999996</v>
      </c>
      <c r="F26" s="4">
        <v>3.51</v>
      </c>
      <c r="G26" s="4">
        <v>3</v>
      </c>
      <c r="H26" s="4">
        <v>2.4900000000000002</v>
      </c>
      <c r="I26" s="4">
        <v>1.99</v>
      </c>
      <c r="J26" s="4">
        <v>1.48</v>
      </c>
      <c r="K26" s="4">
        <v>0.96899999999999997</v>
      </c>
      <c r="L26" s="4">
        <v>0.46200000000000002</v>
      </c>
      <c r="M26" s="4">
        <v>-4.2799999999999998E-2</v>
      </c>
      <c r="N26" s="4">
        <v>-0.54500000000000004</v>
      </c>
      <c r="O26" s="4">
        <v>-1.04</v>
      </c>
      <c r="P26" s="4">
        <v>-1.54</v>
      </c>
      <c r="R26" s="3">
        <v>400</v>
      </c>
      <c r="S26">
        <v>5.9999999999999968E-5</v>
      </c>
      <c r="T26">
        <f t="shared" si="1"/>
        <v>5.9999999999999968E-5</v>
      </c>
      <c r="U26">
        <f t="shared" si="2"/>
        <v>8.0999999999999963E-5</v>
      </c>
      <c r="V26">
        <f t="shared" si="3"/>
        <v>8.8000000000000025E-5</v>
      </c>
      <c r="W26">
        <f t="shared" si="4"/>
        <v>9.1500000000000001E-5</v>
      </c>
      <c r="X26">
        <f t="shared" si="5"/>
        <v>9.3599999999999998E-5</v>
      </c>
      <c r="Y26">
        <f t="shared" si="6"/>
        <v>9.4999999999999978E-5</v>
      </c>
      <c r="Z26">
        <f t="shared" si="7"/>
        <v>9.5714285714285712E-5</v>
      </c>
      <c r="AA26">
        <f t="shared" si="8"/>
        <v>9.6499999999999987E-5</v>
      </c>
      <c r="AB26">
        <f t="shared" si="9"/>
        <v>9.7133333333333327E-5</v>
      </c>
      <c r="AC26">
        <f t="shared" si="10"/>
        <v>9.7560000000000008E-5</v>
      </c>
      <c r="AD26">
        <f t="shared" si="11"/>
        <v>9.7869090909090905E-5</v>
      </c>
      <c r="AE26">
        <f t="shared" si="12"/>
        <v>9.8083333333333337E-5</v>
      </c>
      <c r="AF26">
        <f t="shared" si="13"/>
        <v>9.8153846153846148E-5</v>
      </c>
      <c r="AG26">
        <f t="shared" si="14"/>
        <v>9.8285714285714274E-5</v>
      </c>
    </row>
    <row r="27" spans="1:33" x14ac:dyDescent="0.15">
      <c r="A27" s="3">
        <v>450</v>
      </c>
      <c r="B27" s="4">
        <v>5.33</v>
      </c>
      <c r="C27" s="4">
        <v>4.99</v>
      </c>
      <c r="D27" s="4">
        <v>4.5</v>
      </c>
      <c r="E27" s="4">
        <v>4</v>
      </c>
      <c r="F27" s="4">
        <v>3.51</v>
      </c>
      <c r="G27" s="4">
        <v>3.02</v>
      </c>
      <c r="H27" s="4">
        <v>2.5299999999999998</v>
      </c>
      <c r="I27" s="4">
        <v>2.04</v>
      </c>
      <c r="J27" s="4">
        <v>1.55</v>
      </c>
      <c r="K27" s="4">
        <v>1.06</v>
      </c>
      <c r="L27" s="4">
        <v>0.56699999999999995</v>
      </c>
      <c r="M27" s="4">
        <v>7.5899999999999995E-2</v>
      </c>
      <c r="N27" s="4">
        <v>-0.41299999999999998</v>
      </c>
      <c r="O27" s="4">
        <v>-0.9</v>
      </c>
      <c r="P27" s="4">
        <v>-1.38</v>
      </c>
      <c r="R27" s="3">
        <v>450</v>
      </c>
      <c r="S27">
        <v>6.7999999999999972E-5</v>
      </c>
      <c r="T27">
        <f t="shared" si="1"/>
        <v>6.7999999999999972E-5</v>
      </c>
      <c r="U27">
        <f t="shared" si="2"/>
        <v>8.2999999999999998E-5</v>
      </c>
      <c r="V27">
        <f t="shared" si="3"/>
        <v>8.8666666666666663E-5</v>
      </c>
      <c r="W27">
        <f t="shared" si="4"/>
        <v>9.1000000000000016E-5</v>
      </c>
      <c r="X27">
        <f t="shared" si="5"/>
        <v>9.2399999999999996E-5</v>
      </c>
      <c r="Y27">
        <f t="shared" si="6"/>
        <v>9.3333333333333343E-5</v>
      </c>
      <c r="Z27">
        <f t="shared" si="7"/>
        <v>9.4000000000000008E-5</v>
      </c>
      <c r="AA27">
        <f t="shared" si="8"/>
        <v>9.4500000000000007E-5</v>
      </c>
      <c r="AB27">
        <f t="shared" si="9"/>
        <v>9.488888888888889E-5</v>
      </c>
      <c r="AC27">
        <f t="shared" si="10"/>
        <v>9.5259999999999993E-5</v>
      </c>
      <c r="AD27">
        <f t="shared" si="11"/>
        <v>9.552909090909091E-5</v>
      </c>
      <c r="AE27">
        <f t="shared" si="12"/>
        <v>9.5716666666666671E-5</v>
      </c>
      <c r="AF27">
        <f t="shared" si="13"/>
        <v>9.5846153846153865E-5</v>
      </c>
      <c r="AG27">
        <f t="shared" si="14"/>
        <v>9.5857142857142864E-5</v>
      </c>
    </row>
    <row r="28" spans="1:33" x14ac:dyDescent="0.15">
      <c r="A28" s="3">
        <v>500</v>
      </c>
      <c r="B28" s="4">
        <v>5.32</v>
      </c>
      <c r="C28" s="4">
        <v>4.9400000000000004</v>
      </c>
      <c r="D28" s="4">
        <v>4.45</v>
      </c>
      <c r="E28" s="4">
        <v>3.97</v>
      </c>
      <c r="F28" s="4">
        <v>3.5</v>
      </c>
      <c r="G28" s="4">
        <v>3.03</v>
      </c>
      <c r="H28" s="4">
        <v>2.5499999999999998</v>
      </c>
      <c r="I28" s="4">
        <v>2.08</v>
      </c>
      <c r="J28" s="4">
        <v>1.6</v>
      </c>
      <c r="K28" s="4">
        <v>1.1299999999999999</v>
      </c>
      <c r="L28" s="4">
        <v>0.64900000000000002</v>
      </c>
      <c r="M28" s="4">
        <v>0.17299999999999999</v>
      </c>
      <c r="N28" s="4">
        <v>-0.30299999999999999</v>
      </c>
      <c r="O28" s="4">
        <v>-0.77700000000000002</v>
      </c>
      <c r="P28" s="4">
        <v>-1.25</v>
      </c>
      <c r="R28" s="3">
        <v>500</v>
      </c>
      <c r="S28">
        <v>7.5999999999999977E-5</v>
      </c>
      <c r="T28">
        <f t="shared" si="1"/>
        <v>7.5999999999999977E-5</v>
      </c>
      <c r="U28">
        <f t="shared" si="2"/>
        <v>8.7000000000000014E-5</v>
      </c>
      <c r="V28">
        <f t="shared" si="3"/>
        <v>9.0000000000000006E-5</v>
      </c>
      <c r="W28">
        <f t="shared" si="4"/>
        <v>9.1000000000000016E-5</v>
      </c>
      <c r="X28">
        <f t="shared" si="5"/>
        <v>9.1600000000000017E-5</v>
      </c>
      <c r="Y28">
        <f t="shared" si="6"/>
        <v>9.2333333333333346E-5</v>
      </c>
      <c r="Z28">
        <f t="shared" si="7"/>
        <v>9.2571428571428582E-5</v>
      </c>
      <c r="AA28">
        <f t="shared" si="8"/>
        <v>9.3000000000000011E-5</v>
      </c>
      <c r="AB28">
        <f t="shared" si="9"/>
        <v>9.3111111111111126E-5</v>
      </c>
      <c r="AC28">
        <f t="shared" si="10"/>
        <v>9.342000000000001E-5</v>
      </c>
      <c r="AD28">
        <f t="shared" si="11"/>
        <v>9.3581818181818192E-5</v>
      </c>
      <c r="AE28">
        <f t="shared" si="12"/>
        <v>9.3716666666666677E-5</v>
      </c>
      <c r="AF28">
        <f t="shared" si="13"/>
        <v>9.3800000000000017E-5</v>
      </c>
      <c r="AG28">
        <f t="shared" si="14"/>
        <v>9.3857142857142856E-5</v>
      </c>
    </row>
    <row r="29" spans="1:33" x14ac:dyDescent="0.15">
      <c r="A29" s="3">
        <v>550</v>
      </c>
      <c r="B29" s="4">
        <v>5.31</v>
      </c>
      <c r="C29" s="4">
        <v>4.87</v>
      </c>
      <c r="D29" s="4">
        <v>4.4000000000000004</v>
      </c>
      <c r="E29" s="4">
        <v>3.93</v>
      </c>
      <c r="F29" s="4">
        <v>3.47</v>
      </c>
      <c r="G29" s="4">
        <v>3.01</v>
      </c>
      <c r="H29" s="4">
        <v>2.56</v>
      </c>
      <c r="I29" s="4">
        <v>2.1</v>
      </c>
      <c r="J29" s="4">
        <v>1.64</v>
      </c>
      <c r="K29" s="4">
        <v>1.18</v>
      </c>
      <c r="L29" s="4">
        <v>0.71399999999999997</v>
      </c>
      <c r="M29" s="4">
        <v>0.251</v>
      </c>
      <c r="N29" s="4">
        <v>-0.21099999999999999</v>
      </c>
      <c r="O29" s="4">
        <v>-0.67300000000000004</v>
      </c>
      <c r="P29" s="4">
        <v>-1.1299999999999999</v>
      </c>
      <c r="R29" s="3">
        <v>550</v>
      </c>
      <c r="S29">
        <v>8.7999999999999903E-5</v>
      </c>
      <c r="T29">
        <f t="shared" si="1"/>
        <v>8.7999999999999903E-5</v>
      </c>
      <c r="U29">
        <f t="shared" si="2"/>
        <v>9.0999999999999922E-5</v>
      </c>
      <c r="V29">
        <f t="shared" si="3"/>
        <v>9.1999999999999959E-5</v>
      </c>
      <c r="W29">
        <f t="shared" si="4"/>
        <v>9.1999999999999959E-5</v>
      </c>
      <c r="X29">
        <f t="shared" si="5"/>
        <v>9.2E-5</v>
      </c>
      <c r="Y29">
        <f t="shared" si="6"/>
        <v>9.1666666666666654E-5</v>
      </c>
      <c r="Z29">
        <f t="shared" si="7"/>
        <v>9.1714285714285696E-5</v>
      </c>
      <c r="AA29">
        <f t="shared" si="8"/>
        <v>9.1749999999999994E-5</v>
      </c>
      <c r="AB29">
        <f t="shared" si="9"/>
        <v>9.1777777777777783E-5</v>
      </c>
      <c r="AC29">
        <f t="shared" si="10"/>
        <v>9.1920000000000001E-5</v>
      </c>
      <c r="AD29">
        <f t="shared" si="11"/>
        <v>9.1981818181818167E-5</v>
      </c>
      <c r="AE29">
        <f t="shared" si="12"/>
        <v>9.2016666666666676E-5</v>
      </c>
      <c r="AF29">
        <f t="shared" si="13"/>
        <v>9.204615384615384E-5</v>
      </c>
      <c r="AG29">
        <f t="shared" si="14"/>
        <v>9.2E-5</v>
      </c>
    </row>
    <row r="30" spans="1:33" x14ac:dyDescent="0.15">
      <c r="A30" s="3">
        <v>600</v>
      </c>
      <c r="B30" s="4">
        <v>5.3</v>
      </c>
      <c r="C30" s="4">
        <v>4.8</v>
      </c>
      <c r="D30" s="4">
        <v>4.3499999999999996</v>
      </c>
      <c r="E30" s="4">
        <v>3.89</v>
      </c>
      <c r="F30" s="4">
        <v>3.44</v>
      </c>
      <c r="G30" s="4">
        <v>2.99</v>
      </c>
      <c r="H30" s="4">
        <v>2.5499999999999998</v>
      </c>
      <c r="I30" s="4">
        <v>2.1</v>
      </c>
      <c r="J30" s="4">
        <v>1.66</v>
      </c>
      <c r="K30" s="4">
        <v>1.21</v>
      </c>
      <c r="L30" s="4">
        <v>0.76500000000000001</v>
      </c>
      <c r="M30" s="4">
        <v>0.316</v>
      </c>
      <c r="N30" s="4">
        <v>-0.13400000000000001</v>
      </c>
      <c r="O30" s="4">
        <v>-0.58299999999999996</v>
      </c>
      <c r="P30" s="4">
        <v>-1.03</v>
      </c>
      <c r="R30" s="3">
        <v>600</v>
      </c>
      <c r="S30">
        <v>1E-4</v>
      </c>
      <c r="T30">
        <f t="shared" si="1"/>
        <v>1E-4</v>
      </c>
      <c r="U30">
        <f t="shared" si="2"/>
        <v>9.5000000000000019E-5</v>
      </c>
      <c r="V30">
        <f t="shared" si="3"/>
        <v>9.3999999999999981E-5</v>
      </c>
      <c r="W30">
        <f t="shared" si="4"/>
        <v>9.2999999999999997E-5</v>
      </c>
      <c r="X30">
        <f t="shared" si="5"/>
        <v>9.2399999999999983E-5</v>
      </c>
      <c r="Y30">
        <f t="shared" si="6"/>
        <v>9.1666666666666668E-5</v>
      </c>
      <c r="Z30">
        <f t="shared" si="7"/>
        <v>9.1428571428571419E-5</v>
      </c>
      <c r="AA30">
        <f t="shared" si="8"/>
        <v>9.0999999999999989E-5</v>
      </c>
      <c r="AB30">
        <f t="shared" si="9"/>
        <v>9.0888888888888888E-5</v>
      </c>
      <c r="AC30">
        <f t="shared" si="10"/>
        <v>9.0699999999999996E-5</v>
      </c>
      <c r="AD30">
        <f t="shared" si="11"/>
        <v>9.0618181818181813E-5</v>
      </c>
      <c r="AE30">
        <f t="shared" si="12"/>
        <v>9.0566666666666682E-5</v>
      </c>
      <c r="AF30">
        <f t="shared" si="13"/>
        <v>9.05076923076923E-5</v>
      </c>
      <c r="AG30">
        <f t="shared" si="14"/>
        <v>9.0428571428571421E-5</v>
      </c>
    </row>
    <row r="31" spans="1:33" x14ac:dyDescent="0.15">
      <c r="A31" s="3">
        <v>650</v>
      </c>
      <c r="B31" s="4">
        <v>5.29</v>
      </c>
      <c r="C31" s="4">
        <v>4.7300000000000004</v>
      </c>
      <c r="D31" s="4">
        <v>4.28</v>
      </c>
      <c r="E31" s="4">
        <v>3.84</v>
      </c>
      <c r="F31" s="4">
        <v>3.4</v>
      </c>
      <c r="G31" s="4">
        <v>2.96</v>
      </c>
      <c r="H31" s="4">
        <v>2.5299999999999998</v>
      </c>
      <c r="I31" s="4">
        <v>2.1</v>
      </c>
      <c r="J31" s="4">
        <v>1.67</v>
      </c>
      <c r="K31" s="4">
        <v>1.24</v>
      </c>
      <c r="L31" s="4">
        <v>0.80300000000000005</v>
      </c>
      <c r="M31" s="4">
        <v>0.36899999999999999</v>
      </c>
      <c r="N31" s="4">
        <v>-6.9099999999999995E-2</v>
      </c>
      <c r="O31" s="4">
        <v>-0.50600000000000001</v>
      </c>
      <c r="P31" s="4">
        <v>-0.94299999999999995</v>
      </c>
      <c r="R31" s="3">
        <v>650</v>
      </c>
      <c r="S31">
        <v>1.1199999999999993E-4</v>
      </c>
      <c r="T31">
        <f t="shared" si="1"/>
        <v>1.1199999999999993E-4</v>
      </c>
      <c r="U31">
        <f t="shared" si="2"/>
        <v>1.0099999999999997E-4</v>
      </c>
      <c r="V31">
        <f t="shared" si="3"/>
        <v>9.6666666666666667E-5</v>
      </c>
      <c r="W31">
        <f t="shared" si="4"/>
        <v>9.4500000000000007E-5</v>
      </c>
      <c r="X31">
        <f t="shared" si="5"/>
        <v>9.3200000000000002E-5</v>
      </c>
      <c r="Y31">
        <f t="shared" si="6"/>
        <v>9.2000000000000014E-5</v>
      </c>
      <c r="Z31">
        <f t="shared" si="7"/>
        <v>9.1142857142857141E-5</v>
      </c>
      <c r="AA31">
        <f t="shared" si="8"/>
        <v>9.0500000000000004E-5</v>
      </c>
      <c r="AB31">
        <f t="shared" si="9"/>
        <v>8.9999999999999992E-5</v>
      </c>
      <c r="AC31">
        <f t="shared" si="10"/>
        <v>8.9739999999999991E-5</v>
      </c>
      <c r="AD31">
        <f t="shared" si="11"/>
        <v>8.9472727272727271E-5</v>
      </c>
      <c r="AE31">
        <f t="shared" si="12"/>
        <v>8.9318333333333335E-5</v>
      </c>
      <c r="AF31">
        <f t="shared" si="13"/>
        <v>8.9169230769230778E-5</v>
      </c>
      <c r="AG31">
        <f t="shared" si="14"/>
        <v>8.9042857142857131E-5</v>
      </c>
    </row>
    <row r="32" spans="1:33" x14ac:dyDescent="0.15">
      <c r="A32" s="3">
        <v>700</v>
      </c>
      <c r="B32" s="4">
        <v>5.28</v>
      </c>
      <c r="C32" s="4">
        <v>4.6500000000000004</v>
      </c>
      <c r="D32" s="4">
        <v>4.22</v>
      </c>
      <c r="E32" s="4">
        <v>3.78</v>
      </c>
      <c r="F32" s="4">
        <v>3.35</v>
      </c>
      <c r="G32" s="4">
        <v>2.93</v>
      </c>
      <c r="H32" s="4">
        <v>2.5099999999999998</v>
      </c>
      <c r="I32" s="4">
        <v>2.09</v>
      </c>
      <c r="J32" s="4">
        <v>1.67</v>
      </c>
      <c r="K32" s="4">
        <v>1.25</v>
      </c>
      <c r="L32" s="4">
        <v>0.83099999999999996</v>
      </c>
      <c r="M32" s="4">
        <v>0.40799999999999997</v>
      </c>
      <c r="N32" s="4">
        <v>-1.6199999999999999E-2</v>
      </c>
      <c r="O32" s="4">
        <v>-0.441</v>
      </c>
      <c r="P32" s="4">
        <v>-0.86599999999999999</v>
      </c>
      <c r="R32" s="3">
        <v>700</v>
      </c>
      <c r="S32">
        <v>1.2599999999999997E-4</v>
      </c>
      <c r="T32">
        <f t="shared" si="1"/>
        <v>1.2599999999999997E-4</v>
      </c>
      <c r="U32">
        <f t="shared" si="2"/>
        <v>1.0600000000000006E-4</v>
      </c>
      <c r="V32">
        <f t="shared" si="3"/>
        <v>1.0000000000000003E-4</v>
      </c>
      <c r="W32">
        <f t="shared" si="4"/>
        <v>9.6500000000000001E-5</v>
      </c>
      <c r="X32">
        <f t="shared" si="5"/>
        <v>9.4000000000000008E-5</v>
      </c>
      <c r="Y32">
        <f t="shared" si="6"/>
        <v>9.2333333333333346E-5</v>
      </c>
      <c r="Z32">
        <f t="shared" si="7"/>
        <v>9.1142857142857155E-5</v>
      </c>
      <c r="AA32">
        <f t="shared" si="8"/>
        <v>9.0249999999999998E-5</v>
      </c>
      <c r="AB32">
        <f t="shared" si="9"/>
        <v>8.9555555555555572E-5</v>
      </c>
      <c r="AC32">
        <f t="shared" si="10"/>
        <v>8.8979999999999992E-5</v>
      </c>
      <c r="AD32">
        <f t="shared" si="11"/>
        <v>8.8581818181818165E-5</v>
      </c>
      <c r="AE32">
        <f t="shared" si="12"/>
        <v>8.8270000000000021E-5</v>
      </c>
      <c r="AF32">
        <f t="shared" si="13"/>
        <v>8.8015384615384616E-5</v>
      </c>
      <c r="AG32">
        <f t="shared" si="14"/>
        <v>8.7799999999999993E-5</v>
      </c>
    </row>
    <row r="33" spans="1:33" s="2" customFormat="1" x14ac:dyDescent="0.15"/>
    <row r="34" spans="1:33" s="2" customFormat="1" x14ac:dyDescent="0.15"/>
    <row r="35" spans="1:33" s="2" customFormat="1" x14ac:dyDescent="0.15"/>
    <row r="36" spans="1:33" x14ac:dyDescent="0.15">
      <c r="A36" s="3"/>
      <c r="B36" s="11" t="s">
        <v>2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R36" s="5" t="s">
        <v>5</v>
      </c>
    </row>
    <row r="37" spans="1:33" s="1" customFormat="1" x14ac:dyDescent="0.15">
      <c r="A37" s="3" t="s">
        <v>1</v>
      </c>
      <c r="B37" s="3">
        <v>-5</v>
      </c>
      <c r="C37" s="3">
        <v>-50</v>
      </c>
      <c r="D37" s="3">
        <v>-100</v>
      </c>
      <c r="E37" s="3">
        <v>-150</v>
      </c>
      <c r="F37" s="3">
        <v>-200</v>
      </c>
      <c r="G37" s="3">
        <v>-250</v>
      </c>
      <c r="H37" s="3">
        <v>-300</v>
      </c>
      <c r="I37" s="3">
        <v>-350</v>
      </c>
      <c r="J37" s="3">
        <v>-400</v>
      </c>
      <c r="K37" s="3">
        <v>-450</v>
      </c>
      <c r="L37" s="3">
        <v>-500</v>
      </c>
      <c r="M37" s="3">
        <v>-550</v>
      </c>
      <c r="N37" s="3">
        <v>-600</v>
      </c>
      <c r="O37" s="3">
        <v>-650</v>
      </c>
      <c r="P37" s="3">
        <v>-700</v>
      </c>
      <c r="S37" s="3">
        <v>0</v>
      </c>
      <c r="T37" s="3">
        <v>-50</v>
      </c>
      <c r="U37" s="3">
        <v>-100</v>
      </c>
      <c r="V37" s="3">
        <v>-150</v>
      </c>
      <c r="W37" s="3">
        <v>-200</v>
      </c>
      <c r="X37" s="3">
        <v>-250</v>
      </c>
      <c r="Y37" s="3">
        <v>-300</v>
      </c>
      <c r="Z37" s="3">
        <v>-350</v>
      </c>
      <c r="AA37" s="3">
        <v>-400</v>
      </c>
      <c r="AB37" s="3">
        <v>-450</v>
      </c>
      <c r="AC37" s="3">
        <v>-500</v>
      </c>
      <c r="AD37" s="3">
        <v>-550</v>
      </c>
      <c r="AE37" s="3">
        <v>-600</v>
      </c>
      <c r="AF37" s="3">
        <v>-650</v>
      </c>
      <c r="AG37" s="3">
        <v>-700</v>
      </c>
    </row>
    <row r="38" spans="1:33" x14ac:dyDescent="0.15">
      <c r="A38" s="3">
        <v>-700</v>
      </c>
      <c r="B38" s="4">
        <v>-1.32</v>
      </c>
      <c r="C38" s="4">
        <v>-1.33</v>
      </c>
      <c r="D38" s="4">
        <v>-1.33</v>
      </c>
      <c r="E38" s="4">
        <v>-1.34</v>
      </c>
      <c r="F38" s="4">
        <v>-1.35</v>
      </c>
      <c r="G38" s="4">
        <v>-1.35</v>
      </c>
      <c r="H38" s="4">
        <v>-1.35</v>
      </c>
      <c r="I38" s="4">
        <v>-1.36</v>
      </c>
      <c r="J38" s="4">
        <v>-1.36</v>
      </c>
      <c r="K38" s="4">
        <v>-1.36</v>
      </c>
      <c r="L38" s="4">
        <v>-1.35</v>
      </c>
      <c r="M38" s="4">
        <v>-1.35</v>
      </c>
      <c r="N38" s="4">
        <v>-1.35</v>
      </c>
      <c r="O38" s="4">
        <v>-1.34</v>
      </c>
      <c r="P38" s="4">
        <v>-1.34</v>
      </c>
      <c r="R38" s="3">
        <v>-700</v>
      </c>
      <c r="S38">
        <f>B38/10/$A38</f>
        <v>1.8857142857142857E-4</v>
      </c>
      <c r="T38">
        <f t="shared" ref="T38:AG38" si="15">C38/10/$A38</f>
        <v>1.9000000000000001E-4</v>
      </c>
      <c r="U38">
        <f t="shared" si="15"/>
        <v>1.9000000000000001E-4</v>
      </c>
      <c r="V38">
        <f t="shared" si="15"/>
        <v>1.9142857142857145E-4</v>
      </c>
      <c r="W38">
        <f t="shared" si="15"/>
        <v>1.9285714285714286E-4</v>
      </c>
      <c r="X38">
        <f t="shared" si="15"/>
        <v>1.9285714285714286E-4</v>
      </c>
      <c r="Y38">
        <f t="shared" si="15"/>
        <v>1.9285714285714286E-4</v>
      </c>
      <c r="Z38">
        <f t="shared" si="15"/>
        <v>1.942857142857143E-4</v>
      </c>
      <c r="AA38">
        <f t="shared" si="15"/>
        <v>1.942857142857143E-4</v>
      </c>
      <c r="AB38">
        <f t="shared" si="15"/>
        <v>1.942857142857143E-4</v>
      </c>
      <c r="AC38">
        <f t="shared" si="15"/>
        <v>1.9285714285714286E-4</v>
      </c>
      <c r="AD38">
        <f t="shared" si="15"/>
        <v>1.9285714285714286E-4</v>
      </c>
      <c r="AE38">
        <f t="shared" si="15"/>
        <v>1.9285714285714286E-4</v>
      </c>
      <c r="AF38">
        <f t="shared" si="15"/>
        <v>1.9142857142857145E-4</v>
      </c>
      <c r="AG38">
        <f t="shared" si="15"/>
        <v>1.9142857142857145E-4</v>
      </c>
    </row>
    <row r="39" spans="1:33" x14ac:dyDescent="0.15">
      <c r="A39" s="3">
        <v>-650</v>
      </c>
      <c r="B39" s="4">
        <v>-1.3</v>
      </c>
      <c r="C39" s="4">
        <v>-1.31</v>
      </c>
      <c r="D39" s="4">
        <v>-1.32</v>
      </c>
      <c r="E39" s="4">
        <v>-1.32</v>
      </c>
      <c r="F39" s="4">
        <v>-1.33</v>
      </c>
      <c r="G39" s="4">
        <v>-1.33</v>
      </c>
      <c r="H39" s="4">
        <v>-1.33</v>
      </c>
      <c r="I39" s="4">
        <v>-1.33</v>
      </c>
      <c r="J39" s="4">
        <v>-1.34</v>
      </c>
      <c r="K39" s="4">
        <v>-1.33</v>
      </c>
      <c r="L39" s="4">
        <v>-1.33</v>
      </c>
      <c r="M39" s="4">
        <v>-1.33</v>
      </c>
      <c r="N39" s="4">
        <v>-1.32</v>
      </c>
      <c r="O39" s="4">
        <v>-1.32</v>
      </c>
      <c r="P39" s="4">
        <v>-1.31</v>
      </c>
      <c r="R39" s="3">
        <v>-650</v>
      </c>
      <c r="S39">
        <f t="shared" ref="S39:S66" si="16">B39/10/$A39</f>
        <v>2.0000000000000001E-4</v>
      </c>
      <c r="T39">
        <f t="shared" ref="T39:T66" si="17">C39/10/$A39</f>
        <v>2.0153846153846155E-4</v>
      </c>
      <c r="U39">
        <f t="shared" ref="U39:U66" si="18">D39/10/$A39</f>
        <v>2.0307692307692309E-4</v>
      </c>
      <c r="V39">
        <f t="shared" ref="V39:V66" si="19">E39/10/$A39</f>
        <v>2.0307692307692309E-4</v>
      </c>
      <c r="W39">
        <f t="shared" ref="W39:W66" si="20">F39/10/$A39</f>
        <v>2.0461538461538463E-4</v>
      </c>
      <c r="X39">
        <f t="shared" ref="X39:X66" si="21">G39/10/$A39</f>
        <v>2.0461538461538463E-4</v>
      </c>
      <c r="Y39">
        <f t="shared" ref="Y39:Y66" si="22">H39/10/$A39</f>
        <v>2.0461538461538463E-4</v>
      </c>
      <c r="Z39">
        <f t="shared" ref="Z39:Z66" si="23">I39/10/$A39</f>
        <v>2.0461538461538463E-4</v>
      </c>
      <c r="AA39">
        <f t="shared" ref="AA39:AA66" si="24">J39/10/$A39</f>
        <v>2.0615384615384617E-4</v>
      </c>
      <c r="AB39">
        <f t="shared" ref="AB39:AB66" si="25">K39/10/$A39</f>
        <v>2.0461538461538463E-4</v>
      </c>
      <c r="AC39">
        <f t="shared" ref="AC39:AC66" si="26">L39/10/$A39</f>
        <v>2.0461538461538463E-4</v>
      </c>
      <c r="AD39">
        <f t="shared" ref="AD39:AD66" si="27">M39/10/$A39</f>
        <v>2.0461538461538463E-4</v>
      </c>
      <c r="AE39">
        <f t="shared" ref="AE39:AE66" si="28">N39/10/$A39</f>
        <v>2.0307692307692309E-4</v>
      </c>
      <c r="AF39">
        <f t="shared" ref="AF39:AF66" si="29">O39/10/$A39</f>
        <v>2.0307692307692309E-4</v>
      </c>
      <c r="AG39">
        <f t="shared" ref="AG39:AG66" si="30">P39/10/$A39</f>
        <v>2.0153846153846155E-4</v>
      </c>
    </row>
    <row r="40" spans="1:33" x14ac:dyDescent="0.15">
      <c r="A40" s="3">
        <v>-600</v>
      </c>
      <c r="B40" s="4">
        <v>-1.28</v>
      </c>
      <c r="C40" s="4">
        <v>-1.29</v>
      </c>
      <c r="D40" s="4">
        <v>-1.3</v>
      </c>
      <c r="E40" s="4">
        <v>-1.3</v>
      </c>
      <c r="F40" s="4">
        <v>-1.31</v>
      </c>
      <c r="G40" s="4">
        <v>-1.31</v>
      </c>
      <c r="H40" s="4">
        <v>-1.31</v>
      </c>
      <c r="I40" s="4">
        <v>-1.31</v>
      </c>
      <c r="J40" s="4">
        <v>-1.31</v>
      </c>
      <c r="K40" s="4">
        <v>-1.31</v>
      </c>
      <c r="L40" s="4">
        <v>-1.3</v>
      </c>
      <c r="M40" s="4">
        <v>-1.3</v>
      </c>
      <c r="N40" s="4">
        <v>-1.29</v>
      </c>
      <c r="O40" s="4">
        <v>-1.29</v>
      </c>
      <c r="P40" s="4">
        <v>-1.28</v>
      </c>
      <c r="R40" s="3">
        <v>-600</v>
      </c>
      <c r="S40">
        <f t="shared" si="16"/>
        <v>2.1333333333333333E-4</v>
      </c>
      <c r="T40">
        <f t="shared" si="17"/>
        <v>2.1499999999999999E-4</v>
      </c>
      <c r="U40">
        <f t="shared" si="18"/>
        <v>2.1666666666666668E-4</v>
      </c>
      <c r="V40">
        <f t="shared" si="19"/>
        <v>2.1666666666666668E-4</v>
      </c>
      <c r="W40">
        <f t="shared" si="20"/>
        <v>2.1833333333333335E-4</v>
      </c>
      <c r="X40">
        <f t="shared" si="21"/>
        <v>2.1833333333333335E-4</v>
      </c>
      <c r="Y40">
        <f t="shared" si="22"/>
        <v>2.1833333333333335E-4</v>
      </c>
      <c r="Z40">
        <f t="shared" si="23"/>
        <v>2.1833333333333335E-4</v>
      </c>
      <c r="AA40">
        <f t="shared" si="24"/>
        <v>2.1833333333333335E-4</v>
      </c>
      <c r="AB40">
        <f t="shared" si="25"/>
        <v>2.1833333333333335E-4</v>
      </c>
      <c r="AC40">
        <f t="shared" si="26"/>
        <v>2.1666666666666668E-4</v>
      </c>
      <c r="AD40">
        <f t="shared" si="27"/>
        <v>2.1666666666666668E-4</v>
      </c>
      <c r="AE40">
        <f t="shared" si="28"/>
        <v>2.1499999999999999E-4</v>
      </c>
      <c r="AF40">
        <f t="shared" si="29"/>
        <v>2.1499999999999999E-4</v>
      </c>
      <c r="AG40">
        <f t="shared" si="30"/>
        <v>2.1333333333333333E-4</v>
      </c>
    </row>
    <row r="41" spans="1:33" x14ac:dyDescent="0.15">
      <c r="A41" s="3">
        <v>-550</v>
      </c>
      <c r="B41" s="4">
        <v>-1.26</v>
      </c>
      <c r="C41" s="4">
        <v>-1.27</v>
      </c>
      <c r="D41" s="4">
        <v>-1.27</v>
      </c>
      <c r="E41" s="4">
        <v>-1.28</v>
      </c>
      <c r="F41" s="4">
        <v>-1.28</v>
      </c>
      <c r="G41" s="4">
        <v>-1.28</v>
      </c>
      <c r="H41" s="4">
        <v>-1.28</v>
      </c>
      <c r="I41" s="4">
        <v>-1.28</v>
      </c>
      <c r="J41" s="4">
        <v>-1.28</v>
      </c>
      <c r="K41" s="4">
        <v>-1.28</v>
      </c>
      <c r="L41" s="4">
        <v>-1.27</v>
      </c>
      <c r="M41" s="4">
        <v>-1.27</v>
      </c>
      <c r="N41" s="4">
        <v>-1.26</v>
      </c>
      <c r="O41" s="4">
        <v>-1.25</v>
      </c>
      <c r="P41" s="4">
        <v>-1.24</v>
      </c>
      <c r="R41" s="3">
        <v>-550</v>
      </c>
      <c r="S41">
        <f t="shared" si="16"/>
        <v>2.290909090909091E-4</v>
      </c>
      <c r="T41">
        <f t="shared" si="17"/>
        <v>2.3090909090909092E-4</v>
      </c>
      <c r="U41">
        <f t="shared" si="18"/>
        <v>2.3090909090909092E-4</v>
      </c>
      <c r="V41">
        <f t="shared" si="19"/>
        <v>2.3272727272727274E-4</v>
      </c>
      <c r="W41">
        <f t="shared" si="20"/>
        <v>2.3272727272727274E-4</v>
      </c>
      <c r="X41">
        <f t="shared" si="21"/>
        <v>2.3272727272727274E-4</v>
      </c>
      <c r="Y41">
        <f t="shared" si="22"/>
        <v>2.3272727272727274E-4</v>
      </c>
      <c r="Z41">
        <f t="shared" si="23"/>
        <v>2.3272727272727274E-4</v>
      </c>
      <c r="AA41">
        <f t="shared" si="24"/>
        <v>2.3272727272727274E-4</v>
      </c>
      <c r="AB41">
        <f t="shared" si="25"/>
        <v>2.3272727272727274E-4</v>
      </c>
      <c r="AC41">
        <f t="shared" si="26"/>
        <v>2.3090909090909092E-4</v>
      </c>
      <c r="AD41">
        <f t="shared" si="27"/>
        <v>2.3090909090909092E-4</v>
      </c>
      <c r="AE41">
        <f t="shared" si="28"/>
        <v>2.290909090909091E-4</v>
      </c>
      <c r="AF41">
        <f t="shared" si="29"/>
        <v>2.2727272727272727E-4</v>
      </c>
      <c r="AG41">
        <f t="shared" si="30"/>
        <v>2.2545454545454545E-4</v>
      </c>
    </row>
    <row r="42" spans="1:33" x14ac:dyDescent="0.15">
      <c r="A42" s="3">
        <v>-500</v>
      </c>
      <c r="B42" s="4">
        <v>-1.23</v>
      </c>
      <c r="C42" s="4">
        <v>-1.24</v>
      </c>
      <c r="D42" s="4">
        <v>-1.24</v>
      </c>
      <c r="E42" s="4">
        <v>-1.25</v>
      </c>
      <c r="F42" s="4">
        <v>-1.25</v>
      </c>
      <c r="G42" s="4">
        <v>-1.25</v>
      </c>
      <c r="H42" s="4">
        <v>-1.25</v>
      </c>
      <c r="I42" s="4">
        <v>-1.25</v>
      </c>
      <c r="J42" s="4">
        <v>-1.25</v>
      </c>
      <c r="K42" s="4">
        <v>-1.24</v>
      </c>
      <c r="L42" s="4">
        <v>-1.23</v>
      </c>
      <c r="M42" s="4">
        <v>-1.23</v>
      </c>
      <c r="N42" s="4">
        <v>-1.22</v>
      </c>
      <c r="O42" s="4">
        <v>-1.21</v>
      </c>
      <c r="P42" s="4">
        <v>-1.19</v>
      </c>
      <c r="R42" s="3">
        <v>-500</v>
      </c>
      <c r="S42">
        <f t="shared" si="16"/>
        <v>2.4600000000000002E-4</v>
      </c>
      <c r="T42">
        <f t="shared" si="17"/>
        <v>2.4800000000000001E-4</v>
      </c>
      <c r="U42">
        <f t="shared" si="18"/>
        <v>2.4800000000000001E-4</v>
      </c>
      <c r="V42">
        <f t="shared" si="19"/>
        <v>2.5000000000000001E-4</v>
      </c>
      <c r="W42">
        <f t="shared" si="20"/>
        <v>2.5000000000000001E-4</v>
      </c>
      <c r="X42">
        <f t="shared" si="21"/>
        <v>2.5000000000000001E-4</v>
      </c>
      <c r="Y42">
        <f t="shared" si="22"/>
        <v>2.5000000000000001E-4</v>
      </c>
      <c r="Z42">
        <f t="shared" si="23"/>
        <v>2.5000000000000001E-4</v>
      </c>
      <c r="AA42">
        <f t="shared" si="24"/>
        <v>2.5000000000000001E-4</v>
      </c>
      <c r="AB42">
        <f t="shared" si="25"/>
        <v>2.4800000000000001E-4</v>
      </c>
      <c r="AC42">
        <f t="shared" si="26"/>
        <v>2.4600000000000002E-4</v>
      </c>
      <c r="AD42">
        <f t="shared" si="27"/>
        <v>2.4600000000000002E-4</v>
      </c>
      <c r="AE42">
        <f t="shared" si="28"/>
        <v>2.4399999999999999E-4</v>
      </c>
      <c r="AF42">
        <f t="shared" si="29"/>
        <v>2.42E-4</v>
      </c>
      <c r="AG42">
        <f t="shared" si="30"/>
        <v>2.3799999999999998E-4</v>
      </c>
    </row>
    <row r="43" spans="1:33" x14ac:dyDescent="0.15">
      <c r="A43" s="3">
        <v>-450</v>
      </c>
      <c r="B43" s="4">
        <v>-1.2</v>
      </c>
      <c r="C43" s="4">
        <v>-1.21</v>
      </c>
      <c r="D43" s="4">
        <v>-1.21</v>
      </c>
      <c r="E43" s="4">
        <v>-1.21</v>
      </c>
      <c r="F43" s="4">
        <v>-1.21</v>
      </c>
      <c r="G43" s="4">
        <v>-1.21</v>
      </c>
      <c r="H43" s="4">
        <v>-1.21</v>
      </c>
      <c r="I43" s="4">
        <v>-1.21</v>
      </c>
      <c r="J43" s="4">
        <v>-1.2</v>
      </c>
      <c r="K43" s="4">
        <v>-1.2</v>
      </c>
      <c r="L43" s="4">
        <v>-1.19</v>
      </c>
      <c r="M43" s="4">
        <v>-1.18</v>
      </c>
      <c r="N43" s="4">
        <v>-1.17</v>
      </c>
      <c r="O43" s="4">
        <v>-1.1499999999999999</v>
      </c>
      <c r="P43" s="4">
        <v>-1.1399999999999999</v>
      </c>
      <c r="R43" s="3">
        <v>-450</v>
      </c>
      <c r="S43">
        <f t="shared" si="16"/>
        <v>2.6666666666666668E-4</v>
      </c>
      <c r="T43">
        <f t="shared" si="17"/>
        <v>2.6888888888888888E-4</v>
      </c>
      <c r="U43">
        <f t="shared" si="18"/>
        <v>2.6888888888888888E-4</v>
      </c>
      <c r="V43">
        <f t="shared" si="19"/>
        <v>2.6888888888888888E-4</v>
      </c>
      <c r="W43">
        <f t="shared" si="20"/>
        <v>2.6888888888888888E-4</v>
      </c>
      <c r="X43">
        <f t="shared" si="21"/>
        <v>2.6888888888888888E-4</v>
      </c>
      <c r="Y43">
        <f t="shared" si="22"/>
        <v>2.6888888888888888E-4</v>
      </c>
      <c r="Z43">
        <f t="shared" si="23"/>
        <v>2.6888888888888888E-4</v>
      </c>
      <c r="AA43">
        <f t="shared" si="24"/>
        <v>2.6666666666666668E-4</v>
      </c>
      <c r="AB43">
        <f t="shared" si="25"/>
        <v>2.6666666666666668E-4</v>
      </c>
      <c r="AC43">
        <f t="shared" si="26"/>
        <v>2.6444444444444443E-4</v>
      </c>
      <c r="AD43">
        <f t="shared" si="27"/>
        <v>2.6222222222222223E-4</v>
      </c>
      <c r="AE43">
        <f t="shared" si="28"/>
        <v>2.5999999999999998E-4</v>
      </c>
      <c r="AF43">
        <f t="shared" si="29"/>
        <v>2.5555555555555553E-4</v>
      </c>
      <c r="AG43">
        <f t="shared" si="30"/>
        <v>2.5333333333333333E-4</v>
      </c>
    </row>
    <row r="44" spans="1:33" x14ac:dyDescent="0.15">
      <c r="A44" s="3">
        <v>-400</v>
      </c>
      <c r="B44" s="4">
        <v>-1.1599999999999999</v>
      </c>
      <c r="C44" s="4">
        <v>-1.17</v>
      </c>
      <c r="D44" s="4">
        <v>-1.17</v>
      </c>
      <c r="E44" s="4">
        <v>-1.17</v>
      </c>
      <c r="F44" s="4">
        <v>-1.17</v>
      </c>
      <c r="G44" s="4">
        <v>-1.17</v>
      </c>
      <c r="H44" s="4">
        <v>-1.1599999999999999</v>
      </c>
      <c r="I44" s="4">
        <v>-1.1599999999999999</v>
      </c>
      <c r="J44" s="4">
        <v>-1.1499999999999999</v>
      </c>
      <c r="K44" s="4">
        <v>-1.1399999999999999</v>
      </c>
      <c r="L44" s="4">
        <v>-1.1299999999999999</v>
      </c>
      <c r="M44" s="4">
        <v>-1.1200000000000001</v>
      </c>
      <c r="N44" s="4">
        <v>-1.1000000000000001</v>
      </c>
      <c r="O44" s="4">
        <v>-1.0900000000000001</v>
      </c>
      <c r="P44" s="4">
        <v>-1.07</v>
      </c>
      <c r="R44" s="3">
        <v>-400</v>
      </c>
      <c r="S44">
        <f t="shared" si="16"/>
        <v>2.9E-4</v>
      </c>
      <c r="T44">
        <f t="shared" si="17"/>
        <v>2.9250000000000001E-4</v>
      </c>
      <c r="U44">
        <f t="shared" si="18"/>
        <v>2.9250000000000001E-4</v>
      </c>
      <c r="V44">
        <f t="shared" si="19"/>
        <v>2.9250000000000001E-4</v>
      </c>
      <c r="W44">
        <f t="shared" si="20"/>
        <v>2.9250000000000001E-4</v>
      </c>
      <c r="X44">
        <f t="shared" si="21"/>
        <v>2.9250000000000001E-4</v>
      </c>
      <c r="Y44">
        <f t="shared" si="22"/>
        <v>2.9E-4</v>
      </c>
      <c r="Z44">
        <f t="shared" si="23"/>
        <v>2.9E-4</v>
      </c>
      <c r="AA44">
        <f t="shared" si="24"/>
        <v>2.875E-4</v>
      </c>
      <c r="AB44">
        <f t="shared" si="25"/>
        <v>2.8499999999999999E-4</v>
      </c>
      <c r="AC44">
        <f t="shared" si="26"/>
        <v>2.8249999999999998E-4</v>
      </c>
      <c r="AD44">
        <f t="shared" si="27"/>
        <v>2.8000000000000003E-4</v>
      </c>
      <c r="AE44">
        <f t="shared" si="28"/>
        <v>2.7500000000000002E-4</v>
      </c>
      <c r="AF44">
        <f t="shared" si="29"/>
        <v>2.7250000000000001E-4</v>
      </c>
      <c r="AG44">
        <f t="shared" si="30"/>
        <v>2.6750000000000005E-4</v>
      </c>
    </row>
    <row r="45" spans="1:33" x14ac:dyDescent="0.15">
      <c r="A45" s="3">
        <v>-350</v>
      </c>
      <c r="B45" s="4">
        <v>-1.1200000000000001</v>
      </c>
      <c r="C45" s="4">
        <v>-1.1200000000000001</v>
      </c>
      <c r="D45" s="4">
        <v>-1.1200000000000001</v>
      </c>
      <c r="E45" s="4">
        <v>-1.1200000000000001</v>
      </c>
      <c r="F45" s="4">
        <v>-1.1200000000000001</v>
      </c>
      <c r="G45" s="4">
        <v>-1.1100000000000001</v>
      </c>
      <c r="H45" s="4">
        <v>-1.1100000000000001</v>
      </c>
      <c r="I45" s="4">
        <v>-1.1000000000000001</v>
      </c>
      <c r="J45" s="4">
        <v>-1.0900000000000001</v>
      </c>
      <c r="K45" s="4">
        <v>-1.07</v>
      </c>
      <c r="L45" s="4">
        <v>-1.06</v>
      </c>
      <c r="M45" s="4">
        <v>-1.04</v>
      </c>
      <c r="N45" s="4">
        <v>-1.03</v>
      </c>
      <c r="O45" s="4">
        <v>-1.01</v>
      </c>
      <c r="P45" s="4">
        <v>-0.99299999999999999</v>
      </c>
      <c r="R45" s="3">
        <v>-350</v>
      </c>
      <c r="S45">
        <f t="shared" si="16"/>
        <v>3.2000000000000003E-4</v>
      </c>
      <c r="T45">
        <f t="shared" si="17"/>
        <v>3.2000000000000003E-4</v>
      </c>
      <c r="U45">
        <f t="shared" si="18"/>
        <v>3.2000000000000003E-4</v>
      </c>
      <c r="V45">
        <f t="shared" si="19"/>
        <v>3.2000000000000003E-4</v>
      </c>
      <c r="W45">
        <f t="shared" si="20"/>
        <v>3.2000000000000003E-4</v>
      </c>
      <c r="X45">
        <f t="shared" si="21"/>
        <v>3.171428571428572E-4</v>
      </c>
      <c r="Y45">
        <f t="shared" si="22"/>
        <v>3.171428571428572E-4</v>
      </c>
      <c r="Z45">
        <f t="shared" si="23"/>
        <v>3.1428571428571432E-4</v>
      </c>
      <c r="AA45">
        <f t="shared" si="24"/>
        <v>3.1142857142857149E-4</v>
      </c>
      <c r="AB45">
        <f t="shared" si="25"/>
        <v>3.0571428571428573E-4</v>
      </c>
      <c r="AC45">
        <f t="shared" si="26"/>
        <v>3.0285714285714291E-4</v>
      </c>
      <c r="AD45">
        <f t="shared" si="27"/>
        <v>2.9714285714285715E-4</v>
      </c>
      <c r="AE45">
        <f t="shared" si="28"/>
        <v>2.9428571428571432E-4</v>
      </c>
      <c r="AF45">
        <f t="shared" si="29"/>
        <v>2.8857142857142862E-4</v>
      </c>
      <c r="AG45">
        <f t="shared" si="30"/>
        <v>2.8371428571428569E-4</v>
      </c>
    </row>
    <row r="46" spans="1:33" x14ac:dyDescent="0.15">
      <c r="A46" s="3">
        <v>-300</v>
      </c>
      <c r="B46" s="4">
        <v>-1.06</v>
      </c>
      <c r="C46" s="4">
        <v>-1.06</v>
      </c>
      <c r="D46" s="4">
        <v>-1.06</v>
      </c>
      <c r="E46" s="4">
        <v>-1.05</v>
      </c>
      <c r="F46" s="4">
        <v>-1.05</v>
      </c>
      <c r="G46" s="4">
        <v>-1.04</v>
      </c>
      <c r="H46" s="4">
        <v>-1.03</v>
      </c>
      <c r="I46" s="4">
        <v>-1.02</v>
      </c>
      <c r="J46" s="4">
        <v>-1</v>
      </c>
      <c r="K46" s="4">
        <v>-0.98499999999999999</v>
      </c>
      <c r="L46" s="4">
        <v>-0.96799999999999997</v>
      </c>
      <c r="M46" s="4">
        <v>-0.95099999999999996</v>
      </c>
      <c r="N46" s="4">
        <v>-0.93300000000000005</v>
      </c>
      <c r="O46" s="4">
        <v>-0.91400000000000003</v>
      </c>
      <c r="P46" s="4">
        <v>-0.89600000000000002</v>
      </c>
      <c r="R46" s="3">
        <v>-300</v>
      </c>
      <c r="S46">
        <f t="shared" si="16"/>
        <v>3.5333333333333337E-4</v>
      </c>
      <c r="T46">
        <f t="shared" si="17"/>
        <v>3.5333333333333337E-4</v>
      </c>
      <c r="U46">
        <f t="shared" si="18"/>
        <v>3.5333333333333337E-4</v>
      </c>
      <c r="V46">
        <f t="shared" si="19"/>
        <v>3.5000000000000005E-4</v>
      </c>
      <c r="W46">
        <f t="shared" si="20"/>
        <v>3.5000000000000005E-4</v>
      </c>
      <c r="X46">
        <f t="shared" si="21"/>
        <v>3.4666666666666667E-4</v>
      </c>
      <c r="Y46">
        <f t="shared" si="22"/>
        <v>3.4333333333333335E-4</v>
      </c>
      <c r="Z46">
        <f t="shared" si="23"/>
        <v>3.4000000000000002E-4</v>
      </c>
      <c r="AA46">
        <f t="shared" si="24"/>
        <v>3.3333333333333338E-4</v>
      </c>
      <c r="AB46">
        <f t="shared" si="25"/>
        <v>3.2833333333333336E-4</v>
      </c>
      <c r="AC46">
        <f t="shared" si="26"/>
        <v>3.2266666666666663E-4</v>
      </c>
      <c r="AD46">
        <f t="shared" si="27"/>
        <v>3.1699999999999995E-4</v>
      </c>
      <c r="AE46">
        <f t="shared" si="28"/>
        <v>3.1100000000000002E-4</v>
      </c>
      <c r="AF46">
        <f t="shared" si="29"/>
        <v>3.0466666666666668E-4</v>
      </c>
      <c r="AG46">
        <f t="shared" si="30"/>
        <v>2.9866666666666664E-4</v>
      </c>
    </row>
    <row r="47" spans="1:33" x14ac:dyDescent="0.15">
      <c r="A47" s="3">
        <v>-250</v>
      </c>
      <c r="B47" s="4">
        <v>-0.97599999999999998</v>
      </c>
      <c r="C47" s="4">
        <v>-0.97499999999999998</v>
      </c>
      <c r="D47" s="4">
        <v>-0.97099999999999997</v>
      </c>
      <c r="E47" s="4">
        <v>-0.96399999999999997</v>
      </c>
      <c r="F47" s="4">
        <v>-0.95299999999999996</v>
      </c>
      <c r="G47" s="4">
        <v>-0.93899999999999995</v>
      </c>
      <c r="H47" s="4">
        <v>-0.92300000000000004</v>
      </c>
      <c r="I47" s="4">
        <v>-0.90600000000000003</v>
      </c>
      <c r="J47" s="4">
        <v>-0.88900000000000001</v>
      </c>
      <c r="K47" s="4">
        <v>-0.871</v>
      </c>
      <c r="L47" s="4">
        <v>-0.85299999999999998</v>
      </c>
      <c r="M47" s="4">
        <v>-0.83399999999999996</v>
      </c>
      <c r="N47" s="4">
        <v>-0.81599999999999995</v>
      </c>
      <c r="O47" s="4">
        <v>-0.79800000000000004</v>
      </c>
      <c r="P47" s="4">
        <v>-0.78</v>
      </c>
      <c r="R47" s="3">
        <v>-250</v>
      </c>
      <c r="S47">
        <f t="shared" si="16"/>
        <v>3.9039999999999995E-4</v>
      </c>
      <c r="T47">
        <f t="shared" si="17"/>
        <v>3.8999999999999999E-4</v>
      </c>
      <c r="U47">
        <f t="shared" si="18"/>
        <v>3.8839999999999995E-4</v>
      </c>
      <c r="V47">
        <f t="shared" si="19"/>
        <v>3.8559999999999999E-4</v>
      </c>
      <c r="W47">
        <f t="shared" si="20"/>
        <v>3.812E-4</v>
      </c>
      <c r="X47">
        <f t="shared" si="21"/>
        <v>3.7559999999999997E-4</v>
      </c>
      <c r="Y47">
        <f t="shared" si="22"/>
        <v>3.6920000000000003E-4</v>
      </c>
      <c r="Z47">
        <f t="shared" si="23"/>
        <v>3.6240000000000003E-4</v>
      </c>
      <c r="AA47">
        <f t="shared" si="24"/>
        <v>3.5560000000000002E-4</v>
      </c>
      <c r="AB47">
        <f t="shared" si="25"/>
        <v>3.4840000000000001E-4</v>
      </c>
      <c r="AC47">
        <f t="shared" si="26"/>
        <v>3.412E-4</v>
      </c>
      <c r="AD47">
        <f t="shared" si="27"/>
        <v>3.3360000000000003E-4</v>
      </c>
      <c r="AE47">
        <f t="shared" si="28"/>
        <v>3.2639999999999996E-4</v>
      </c>
      <c r="AF47">
        <f t="shared" si="29"/>
        <v>3.1920000000000006E-4</v>
      </c>
      <c r="AG47">
        <f t="shared" si="30"/>
        <v>3.1199999999999999E-4</v>
      </c>
    </row>
    <row r="48" spans="1:33" x14ac:dyDescent="0.15">
      <c r="A48" s="3">
        <v>-200</v>
      </c>
      <c r="B48" s="4">
        <v>-0.86099999999999999</v>
      </c>
      <c r="C48" s="4">
        <v>-0.85499999999999998</v>
      </c>
      <c r="D48" s="4">
        <v>-0.84399999999999997</v>
      </c>
      <c r="E48" s="4">
        <v>-0.83</v>
      </c>
      <c r="F48" s="4">
        <v>-0.81399999999999995</v>
      </c>
      <c r="G48" s="4">
        <v>-0.79700000000000004</v>
      </c>
      <c r="H48" s="4">
        <v>-0.78</v>
      </c>
      <c r="I48" s="4">
        <v>-0.76200000000000001</v>
      </c>
      <c r="J48" s="4">
        <v>-0.745</v>
      </c>
      <c r="K48" s="4">
        <v>-0.72799999999999998</v>
      </c>
      <c r="L48" s="4">
        <v>-0.71099999999999997</v>
      </c>
      <c r="M48" s="4">
        <v>-0.69399999999999995</v>
      </c>
      <c r="N48" s="4">
        <v>-0.67700000000000005</v>
      </c>
      <c r="O48" s="4">
        <v>-0.66100000000000003</v>
      </c>
      <c r="P48" s="4">
        <v>-0.64600000000000002</v>
      </c>
      <c r="R48" s="3">
        <v>-200</v>
      </c>
      <c r="S48">
        <f t="shared" si="16"/>
        <v>4.305E-4</v>
      </c>
      <c r="T48">
        <f t="shared" si="17"/>
        <v>4.2749999999999998E-4</v>
      </c>
      <c r="U48">
        <f t="shared" si="18"/>
        <v>4.2200000000000001E-4</v>
      </c>
      <c r="V48">
        <f t="shared" si="19"/>
        <v>4.1499999999999995E-4</v>
      </c>
      <c r="W48">
        <f t="shared" si="20"/>
        <v>4.0700000000000003E-4</v>
      </c>
      <c r="X48">
        <f t="shared" si="21"/>
        <v>3.9850000000000004E-4</v>
      </c>
      <c r="Y48">
        <f t="shared" si="22"/>
        <v>3.8999999999999999E-4</v>
      </c>
      <c r="Z48">
        <f t="shared" si="23"/>
        <v>3.8100000000000005E-4</v>
      </c>
      <c r="AA48">
        <f t="shared" si="24"/>
        <v>3.725E-4</v>
      </c>
      <c r="AB48">
        <f t="shared" si="25"/>
        <v>3.6400000000000001E-4</v>
      </c>
      <c r="AC48">
        <f t="shared" si="26"/>
        <v>3.5549999999999997E-4</v>
      </c>
      <c r="AD48">
        <f t="shared" si="27"/>
        <v>3.4699999999999992E-4</v>
      </c>
      <c r="AE48">
        <f t="shared" si="28"/>
        <v>3.3850000000000004E-4</v>
      </c>
      <c r="AF48">
        <f t="shared" si="29"/>
        <v>3.3050000000000001E-4</v>
      </c>
      <c r="AG48">
        <f t="shared" si="30"/>
        <v>3.2300000000000004E-4</v>
      </c>
    </row>
    <row r="49" spans="1:33" x14ac:dyDescent="0.15">
      <c r="A49" s="3">
        <v>-150</v>
      </c>
      <c r="B49" s="4">
        <v>-0.69199999999999995</v>
      </c>
      <c r="C49" s="4">
        <v>-0.68100000000000005</v>
      </c>
      <c r="D49" s="4">
        <v>-0.66600000000000004</v>
      </c>
      <c r="E49" s="4">
        <v>-0.65100000000000002</v>
      </c>
      <c r="F49" s="4">
        <v>-0.63500000000000001</v>
      </c>
      <c r="G49" s="4">
        <v>-0.62</v>
      </c>
      <c r="H49" s="4">
        <v>-0.60599999999999998</v>
      </c>
      <c r="I49" s="4">
        <v>-0.59099999999999997</v>
      </c>
      <c r="J49" s="4">
        <v>-0.57599999999999996</v>
      </c>
      <c r="K49" s="4">
        <v>-0.56100000000000005</v>
      </c>
      <c r="L49" s="4">
        <v>-0.54700000000000004</v>
      </c>
      <c r="M49" s="4">
        <v>-0.53200000000000003</v>
      </c>
      <c r="N49" s="4">
        <v>-0.51900000000000002</v>
      </c>
      <c r="O49" s="4">
        <v>-0.50600000000000001</v>
      </c>
      <c r="P49" s="4">
        <v>-0.49399999999999999</v>
      </c>
      <c r="R49" s="3">
        <v>-150</v>
      </c>
      <c r="S49">
        <f t="shared" si="16"/>
        <v>4.6133333333333334E-4</v>
      </c>
      <c r="T49">
        <f t="shared" si="17"/>
        <v>4.5400000000000003E-4</v>
      </c>
      <c r="U49">
        <f t="shared" si="18"/>
        <v>4.4400000000000006E-4</v>
      </c>
      <c r="V49">
        <f t="shared" si="19"/>
        <v>4.3400000000000003E-4</v>
      </c>
      <c r="W49">
        <f t="shared" si="20"/>
        <v>4.2333333333333334E-4</v>
      </c>
      <c r="X49">
        <f t="shared" si="21"/>
        <v>4.1333333333333332E-4</v>
      </c>
      <c r="Y49">
        <f t="shared" si="22"/>
        <v>4.0400000000000001E-4</v>
      </c>
      <c r="Z49">
        <f t="shared" si="23"/>
        <v>3.9399999999999998E-4</v>
      </c>
      <c r="AA49">
        <f t="shared" si="24"/>
        <v>3.8400000000000001E-4</v>
      </c>
      <c r="AB49">
        <f t="shared" si="25"/>
        <v>3.7400000000000004E-4</v>
      </c>
      <c r="AC49">
        <f t="shared" si="26"/>
        <v>3.6466666666666673E-4</v>
      </c>
      <c r="AD49">
        <f t="shared" si="27"/>
        <v>3.546666666666667E-4</v>
      </c>
      <c r="AE49">
        <f t="shared" si="28"/>
        <v>3.4600000000000001E-4</v>
      </c>
      <c r="AF49">
        <f t="shared" si="29"/>
        <v>3.3733333333333331E-4</v>
      </c>
      <c r="AG49">
        <f t="shared" si="30"/>
        <v>3.2933333333333333E-4</v>
      </c>
    </row>
    <row r="50" spans="1:33" x14ac:dyDescent="0.15">
      <c r="A50" s="3">
        <v>-100</v>
      </c>
      <c r="B50" s="4">
        <v>-0.47399999999999998</v>
      </c>
      <c r="C50" s="4">
        <v>-0.46500000000000002</v>
      </c>
      <c r="D50" s="4">
        <v>-0.45500000000000002</v>
      </c>
      <c r="E50" s="4">
        <v>-0.44500000000000001</v>
      </c>
      <c r="F50" s="4">
        <v>-0.434</v>
      </c>
      <c r="G50" s="4">
        <v>-0.42399999999999999</v>
      </c>
      <c r="H50" s="4">
        <v>-0.41299999999999998</v>
      </c>
      <c r="I50" s="4">
        <v>-0.40100000000000002</v>
      </c>
      <c r="J50" s="4">
        <v>-0.39</v>
      </c>
      <c r="K50" s="4">
        <v>-0.34799999999999998</v>
      </c>
      <c r="L50" s="4">
        <v>-0.36799999999999999</v>
      </c>
      <c r="M50" s="4">
        <v>-0.35799999999999998</v>
      </c>
      <c r="N50" s="4">
        <v>-0.34799999999999998</v>
      </c>
      <c r="O50" s="4">
        <v>-0.33900000000000002</v>
      </c>
      <c r="P50" s="4">
        <v>-0.33</v>
      </c>
      <c r="R50" s="3">
        <v>-100</v>
      </c>
      <c r="S50">
        <f t="shared" si="16"/>
        <v>4.7399999999999997E-4</v>
      </c>
      <c r="T50">
        <f t="shared" si="17"/>
        <v>4.6499999999999997E-4</v>
      </c>
      <c r="U50">
        <f t="shared" si="18"/>
        <v>4.55E-4</v>
      </c>
      <c r="V50">
        <f t="shared" si="19"/>
        <v>4.4499999999999997E-4</v>
      </c>
      <c r="W50">
        <f t="shared" si="20"/>
        <v>4.3400000000000003E-4</v>
      </c>
      <c r="X50">
        <f t="shared" si="21"/>
        <v>4.2400000000000001E-4</v>
      </c>
      <c r="Y50">
        <f t="shared" si="22"/>
        <v>4.1299999999999996E-4</v>
      </c>
      <c r="Z50">
        <f t="shared" si="23"/>
        <v>4.0100000000000004E-4</v>
      </c>
      <c r="AA50">
        <f t="shared" si="24"/>
        <v>3.8999999999999999E-4</v>
      </c>
      <c r="AB50">
        <f t="shared" si="25"/>
        <v>3.48E-4</v>
      </c>
      <c r="AC50">
        <f t="shared" si="26"/>
        <v>3.68E-4</v>
      </c>
      <c r="AD50">
        <f t="shared" si="27"/>
        <v>3.5799999999999997E-4</v>
      </c>
      <c r="AE50">
        <f t="shared" si="28"/>
        <v>3.48E-4</v>
      </c>
      <c r="AF50">
        <f t="shared" si="29"/>
        <v>3.39E-4</v>
      </c>
      <c r="AG50">
        <f t="shared" si="30"/>
        <v>3.3E-4</v>
      </c>
    </row>
    <row r="51" spans="1:33" x14ac:dyDescent="0.15">
      <c r="A51" s="3">
        <v>-50</v>
      </c>
      <c r="B51" s="4">
        <v>-0.23899999999999999</v>
      </c>
      <c r="C51" s="4">
        <v>-0.23400000000000001</v>
      </c>
      <c r="D51" s="4">
        <v>-0.22900000000000001</v>
      </c>
      <c r="E51" s="4">
        <v>-0.224</v>
      </c>
      <c r="F51" s="4">
        <v>-0.22</v>
      </c>
      <c r="G51" s="4">
        <v>-0.214</v>
      </c>
      <c r="H51" s="4">
        <v>-0.20699999999999999</v>
      </c>
      <c r="I51" s="4">
        <v>-0.20100000000000001</v>
      </c>
      <c r="J51" s="4">
        <v>-0.19400000000000001</v>
      </c>
      <c r="K51" s="4">
        <v>-0.188</v>
      </c>
      <c r="L51" s="4">
        <v>-0.18099999999999999</v>
      </c>
      <c r="M51" s="4">
        <v>-0.17599999999999999</v>
      </c>
      <c r="N51" s="4">
        <v>-0.17100000000000001</v>
      </c>
      <c r="O51" s="4">
        <v>-0.16500000000000001</v>
      </c>
      <c r="P51" s="4">
        <v>-0.161</v>
      </c>
      <c r="R51" s="3">
        <v>-50</v>
      </c>
      <c r="S51">
        <f t="shared" si="16"/>
        <v>4.7799999999999996E-4</v>
      </c>
      <c r="T51">
        <f t="shared" si="17"/>
        <v>4.6799999999999999E-4</v>
      </c>
      <c r="U51">
        <f t="shared" si="18"/>
        <v>4.5800000000000002E-4</v>
      </c>
      <c r="V51">
        <f t="shared" si="19"/>
        <v>4.4799999999999999E-4</v>
      </c>
      <c r="W51">
        <f t="shared" si="20"/>
        <v>4.3999999999999996E-4</v>
      </c>
      <c r="X51">
        <f t="shared" si="21"/>
        <v>4.28E-4</v>
      </c>
      <c r="Y51">
        <f t="shared" si="22"/>
        <v>4.1399999999999998E-4</v>
      </c>
      <c r="Z51">
        <f t="shared" si="23"/>
        <v>4.0200000000000001E-4</v>
      </c>
      <c r="AA51">
        <f t="shared" si="24"/>
        <v>3.88E-4</v>
      </c>
      <c r="AB51">
        <f t="shared" si="25"/>
        <v>3.7600000000000003E-4</v>
      </c>
      <c r="AC51">
        <f t="shared" si="26"/>
        <v>3.6199999999999996E-4</v>
      </c>
      <c r="AD51">
        <f t="shared" si="27"/>
        <v>3.5199999999999994E-4</v>
      </c>
      <c r="AE51">
        <f t="shared" si="28"/>
        <v>3.4200000000000002E-4</v>
      </c>
      <c r="AF51">
        <f t="shared" si="29"/>
        <v>3.3E-4</v>
      </c>
      <c r="AG51">
        <f t="shared" si="30"/>
        <v>3.2200000000000002E-4</v>
      </c>
    </row>
    <row r="52" spans="1:33" x14ac:dyDescent="0.15">
      <c r="A52" s="3">
        <v>0</v>
      </c>
      <c r="B52" s="4">
        <v>-2.3800000000000002E-2</v>
      </c>
      <c r="C52" s="4">
        <v>-2.2800000000000001E-2</v>
      </c>
      <c r="D52" s="4">
        <v>-2.1600000000000001E-2</v>
      </c>
      <c r="E52" s="4">
        <v>-2.0500000000000001E-2</v>
      </c>
      <c r="F52" s="4">
        <v>-1.9400000000000001E-2</v>
      </c>
      <c r="G52" s="4">
        <v>-1.8100000000000002E-2</v>
      </c>
      <c r="H52" s="4">
        <v>-1.6799999999999999E-2</v>
      </c>
      <c r="I52" s="4">
        <v>-1.54E-2</v>
      </c>
      <c r="J52" s="4">
        <v>-1.4E-2</v>
      </c>
      <c r="K52" s="4">
        <v>-1.26E-2</v>
      </c>
      <c r="L52" s="4">
        <v>-1.12E-2</v>
      </c>
      <c r="M52" s="4">
        <v>-9.8499999999999994E-3</v>
      </c>
      <c r="N52" s="4">
        <v>-8.5400000000000007E-3</v>
      </c>
      <c r="O52" s="4">
        <v>-7.26E-3</v>
      </c>
      <c r="P52" s="4">
        <v>-6.0099999999999997E-3</v>
      </c>
      <c r="R52" s="3">
        <v>0</v>
      </c>
      <c r="S52">
        <f>(S51+S53)/2</f>
        <v>4.7799999999999996E-4</v>
      </c>
      <c r="T52">
        <f t="shared" ref="T52:AG52" si="31">(T51+T53)/2</f>
        <v>4.6900000000000002E-4</v>
      </c>
      <c r="U52">
        <f t="shared" si="31"/>
        <v>4.6100000000000004E-4</v>
      </c>
      <c r="V52">
        <f t="shared" si="31"/>
        <v>4.5300000000000001E-4</v>
      </c>
      <c r="W52">
        <f t="shared" si="31"/>
        <v>4.46E-4</v>
      </c>
      <c r="X52">
        <f t="shared" si="31"/>
        <v>4.35E-4</v>
      </c>
      <c r="Y52">
        <f t="shared" si="31"/>
        <v>4.2299999999999998E-4</v>
      </c>
      <c r="Z52">
        <f t="shared" si="31"/>
        <v>4.1200000000000004E-4</v>
      </c>
      <c r="AA52">
        <f t="shared" si="31"/>
        <v>3.9999999999999996E-4</v>
      </c>
      <c r="AB52">
        <f t="shared" si="31"/>
        <v>3.8900000000000002E-4</v>
      </c>
      <c r="AC52">
        <f t="shared" si="31"/>
        <v>3.7799999999999997E-4</v>
      </c>
      <c r="AD52">
        <f t="shared" si="31"/>
        <v>3.6899999999999997E-4</v>
      </c>
      <c r="AE52">
        <f t="shared" si="31"/>
        <v>3.6099999999999999E-4</v>
      </c>
      <c r="AF52">
        <f t="shared" si="31"/>
        <v>3.5099999999999997E-4</v>
      </c>
      <c r="AG52">
        <f t="shared" si="31"/>
        <v>3.4400000000000001E-4</v>
      </c>
    </row>
    <row r="53" spans="1:33" x14ac:dyDescent="0.15">
      <c r="A53" s="3">
        <v>50</v>
      </c>
      <c r="B53" s="4">
        <v>0.23899999999999999</v>
      </c>
      <c r="C53" s="4">
        <v>0.23499999999999999</v>
      </c>
      <c r="D53" s="4">
        <v>0.23200000000000001</v>
      </c>
      <c r="E53" s="4">
        <v>0.22900000000000001</v>
      </c>
      <c r="F53" s="4">
        <v>0.22600000000000001</v>
      </c>
      <c r="G53" s="4">
        <v>0.221</v>
      </c>
      <c r="H53" s="4">
        <v>0.216</v>
      </c>
      <c r="I53" s="4">
        <v>0.21099999999999999</v>
      </c>
      <c r="J53" s="4">
        <v>0.20599999999999999</v>
      </c>
      <c r="K53" s="4">
        <v>0.20100000000000001</v>
      </c>
      <c r="L53" s="4">
        <v>0.19700000000000001</v>
      </c>
      <c r="M53" s="4">
        <v>0.193</v>
      </c>
      <c r="N53" s="4">
        <v>0.19</v>
      </c>
      <c r="O53" s="4">
        <v>0.186</v>
      </c>
      <c r="P53" s="4">
        <v>0.183</v>
      </c>
      <c r="R53" s="3">
        <v>50</v>
      </c>
      <c r="S53">
        <f>B53/10/$A53</f>
        <v>4.7799999999999996E-4</v>
      </c>
      <c r="T53">
        <f t="shared" si="17"/>
        <v>4.6999999999999999E-4</v>
      </c>
      <c r="U53">
        <f t="shared" si="18"/>
        <v>4.6400000000000006E-4</v>
      </c>
      <c r="V53">
        <f t="shared" si="19"/>
        <v>4.5800000000000002E-4</v>
      </c>
      <c r="W53">
        <f t="shared" si="20"/>
        <v>4.5200000000000004E-4</v>
      </c>
      <c r="X53">
        <f t="shared" si="21"/>
        <v>4.4200000000000001E-4</v>
      </c>
      <c r="Y53">
        <f t="shared" si="22"/>
        <v>4.3200000000000004E-4</v>
      </c>
      <c r="Z53">
        <f t="shared" si="23"/>
        <v>4.2200000000000001E-4</v>
      </c>
      <c r="AA53">
        <f t="shared" si="24"/>
        <v>4.1199999999999999E-4</v>
      </c>
      <c r="AB53">
        <f t="shared" si="25"/>
        <v>4.0200000000000001E-4</v>
      </c>
      <c r="AC53">
        <f t="shared" si="26"/>
        <v>3.9400000000000004E-4</v>
      </c>
      <c r="AD53">
        <f t="shared" si="27"/>
        <v>3.86E-4</v>
      </c>
      <c r="AE53">
        <f t="shared" si="28"/>
        <v>3.7999999999999997E-4</v>
      </c>
      <c r="AF53">
        <f t="shared" si="29"/>
        <v>3.7199999999999999E-4</v>
      </c>
      <c r="AG53">
        <f t="shared" si="30"/>
        <v>3.6600000000000001E-4</v>
      </c>
    </row>
    <row r="54" spans="1:33" x14ac:dyDescent="0.15">
      <c r="A54" s="3">
        <v>100</v>
      </c>
      <c r="B54" s="4">
        <v>0.47399999999999998</v>
      </c>
      <c r="C54" s="4">
        <v>0.45500000000000002</v>
      </c>
      <c r="D54" s="4">
        <v>0.45800000000000002</v>
      </c>
      <c r="E54" s="4">
        <v>0.44900000000000001</v>
      </c>
      <c r="F54" s="4">
        <v>0.44</v>
      </c>
      <c r="G54" s="4">
        <v>0.43099999999999999</v>
      </c>
      <c r="H54" s="4">
        <v>0.42199999999999999</v>
      </c>
      <c r="I54" s="4">
        <v>0.41199999999999998</v>
      </c>
      <c r="J54" s="4">
        <v>0.40200000000000002</v>
      </c>
      <c r="K54" s="4">
        <v>0.39200000000000002</v>
      </c>
      <c r="L54" s="4">
        <v>0.38300000000000001</v>
      </c>
      <c r="M54" s="4">
        <v>0.375</v>
      </c>
      <c r="N54" s="4">
        <v>0.36699999999999999</v>
      </c>
      <c r="O54" s="4">
        <v>0.35899999999999999</v>
      </c>
      <c r="P54" s="4">
        <v>0.35299999999999998</v>
      </c>
      <c r="R54" s="3">
        <v>100</v>
      </c>
      <c r="S54">
        <f t="shared" si="16"/>
        <v>4.7399999999999997E-4</v>
      </c>
      <c r="T54">
        <f t="shared" si="17"/>
        <v>4.55E-4</v>
      </c>
      <c r="U54">
        <f t="shared" si="18"/>
        <v>4.5800000000000002E-4</v>
      </c>
      <c r="V54">
        <f t="shared" si="19"/>
        <v>4.4900000000000002E-4</v>
      </c>
      <c r="W54">
        <f t="shared" si="20"/>
        <v>4.3999999999999996E-4</v>
      </c>
      <c r="X54">
        <f t="shared" si="21"/>
        <v>4.3100000000000001E-4</v>
      </c>
      <c r="Y54">
        <f t="shared" si="22"/>
        <v>4.2200000000000001E-4</v>
      </c>
      <c r="Z54">
        <f t="shared" si="23"/>
        <v>4.1199999999999999E-4</v>
      </c>
      <c r="AA54">
        <f t="shared" si="24"/>
        <v>4.0200000000000001E-4</v>
      </c>
      <c r="AB54">
        <f t="shared" si="25"/>
        <v>3.9199999999999999E-4</v>
      </c>
      <c r="AC54">
        <f t="shared" si="26"/>
        <v>3.8299999999999999E-4</v>
      </c>
      <c r="AD54">
        <f t="shared" si="27"/>
        <v>3.7500000000000001E-4</v>
      </c>
      <c r="AE54">
        <f t="shared" si="28"/>
        <v>3.6699999999999998E-4</v>
      </c>
      <c r="AF54">
        <f t="shared" si="29"/>
        <v>3.59E-4</v>
      </c>
      <c r="AG54">
        <f t="shared" si="30"/>
        <v>3.5299999999999996E-4</v>
      </c>
    </row>
    <row r="55" spans="1:33" x14ac:dyDescent="0.15">
      <c r="A55" s="3">
        <v>150</v>
      </c>
      <c r="B55" s="4">
        <v>0.69199999999999995</v>
      </c>
      <c r="C55" s="4">
        <v>0.68200000000000005</v>
      </c>
      <c r="D55" s="4">
        <v>0.66900000000000004</v>
      </c>
      <c r="E55" s="4">
        <v>0.65500000000000003</v>
      </c>
      <c r="F55" s="4">
        <v>0.64100000000000001</v>
      </c>
      <c r="G55" s="4">
        <v>0.628</v>
      </c>
      <c r="H55" s="4">
        <v>0.61499999999999999</v>
      </c>
      <c r="I55" s="4">
        <v>0.60199999999999998</v>
      </c>
      <c r="J55" s="4">
        <v>0.58799999999999997</v>
      </c>
      <c r="K55" s="4">
        <v>0.57499999999999996</v>
      </c>
      <c r="L55" s="4">
        <v>0.56200000000000006</v>
      </c>
      <c r="M55" s="4">
        <v>0.55000000000000004</v>
      </c>
      <c r="N55" s="4">
        <v>0.53800000000000003</v>
      </c>
      <c r="O55" s="4">
        <v>0.52700000000000002</v>
      </c>
      <c r="P55" s="4">
        <v>0.51600000000000001</v>
      </c>
      <c r="R55" s="3">
        <v>150</v>
      </c>
      <c r="S55">
        <f t="shared" si="16"/>
        <v>4.6133333333333334E-4</v>
      </c>
      <c r="T55">
        <f t="shared" si="17"/>
        <v>4.5466666666666675E-4</v>
      </c>
      <c r="U55">
        <f t="shared" si="18"/>
        <v>4.46E-4</v>
      </c>
      <c r="V55">
        <f t="shared" si="19"/>
        <v>4.3666666666666669E-4</v>
      </c>
      <c r="W55">
        <f t="shared" si="20"/>
        <v>4.2733333333333338E-4</v>
      </c>
      <c r="X55">
        <f t="shared" si="21"/>
        <v>4.1866666666666663E-4</v>
      </c>
      <c r="Y55">
        <f t="shared" si="22"/>
        <v>4.0999999999999999E-4</v>
      </c>
      <c r="Z55">
        <f t="shared" si="23"/>
        <v>4.0133333333333329E-4</v>
      </c>
      <c r="AA55">
        <f t="shared" si="24"/>
        <v>3.9199999999999999E-4</v>
      </c>
      <c r="AB55">
        <f t="shared" si="25"/>
        <v>3.8333333333333329E-4</v>
      </c>
      <c r="AC55">
        <f t="shared" si="26"/>
        <v>3.746666666666667E-4</v>
      </c>
      <c r="AD55">
        <f t="shared" si="27"/>
        <v>3.6666666666666672E-4</v>
      </c>
      <c r="AE55">
        <f t="shared" si="28"/>
        <v>3.5866666666666669E-4</v>
      </c>
      <c r="AF55">
        <f t="shared" si="29"/>
        <v>3.5133333333333338E-4</v>
      </c>
      <c r="AG55">
        <f t="shared" si="30"/>
        <v>3.4400000000000001E-4</v>
      </c>
    </row>
    <row r="56" spans="1:33" x14ac:dyDescent="0.15">
      <c r="A56" s="3">
        <v>200</v>
      </c>
      <c r="B56" s="4">
        <v>0.86099999999999999</v>
      </c>
      <c r="C56" s="4">
        <v>0.85699999999999998</v>
      </c>
      <c r="D56" s="4">
        <v>0.84799999999999998</v>
      </c>
      <c r="E56" s="4">
        <v>0.83499999999999996</v>
      </c>
      <c r="F56" s="4">
        <v>0.82</v>
      </c>
      <c r="G56" s="4">
        <v>0.80500000000000005</v>
      </c>
      <c r="H56" s="4">
        <v>0.78900000000000003</v>
      </c>
      <c r="I56" s="4">
        <v>0.77300000000000002</v>
      </c>
      <c r="J56" s="4">
        <v>0.75700000000000001</v>
      </c>
      <c r="K56" s="4">
        <v>0.74199999999999999</v>
      </c>
      <c r="L56" s="4">
        <v>0.72599999999999998</v>
      </c>
      <c r="M56" s="4">
        <v>0.71099999999999997</v>
      </c>
      <c r="N56" s="4">
        <v>0.69599999999999995</v>
      </c>
      <c r="O56" s="4">
        <v>0.68100000000000005</v>
      </c>
      <c r="P56" s="4">
        <v>0.66700000000000004</v>
      </c>
      <c r="R56" s="3">
        <v>200</v>
      </c>
      <c r="S56">
        <f t="shared" si="16"/>
        <v>4.305E-4</v>
      </c>
      <c r="T56">
        <f t="shared" si="17"/>
        <v>4.2850000000000001E-4</v>
      </c>
      <c r="U56">
        <f t="shared" si="18"/>
        <v>4.2400000000000001E-4</v>
      </c>
      <c r="V56">
        <f t="shared" si="19"/>
        <v>4.1749999999999996E-4</v>
      </c>
      <c r="W56">
        <f t="shared" si="20"/>
        <v>4.0999999999999994E-4</v>
      </c>
      <c r="X56">
        <f t="shared" si="21"/>
        <v>4.0250000000000003E-4</v>
      </c>
      <c r="Y56">
        <f t="shared" si="22"/>
        <v>3.9449999999999999E-4</v>
      </c>
      <c r="Z56">
        <f t="shared" si="23"/>
        <v>3.8650000000000002E-4</v>
      </c>
      <c r="AA56">
        <f t="shared" si="24"/>
        <v>3.7850000000000004E-4</v>
      </c>
      <c r="AB56">
        <f t="shared" si="25"/>
        <v>3.7100000000000002E-4</v>
      </c>
      <c r="AC56">
        <f t="shared" si="26"/>
        <v>3.6299999999999999E-4</v>
      </c>
      <c r="AD56">
        <f t="shared" si="27"/>
        <v>3.5549999999999997E-4</v>
      </c>
      <c r="AE56">
        <f t="shared" si="28"/>
        <v>3.48E-4</v>
      </c>
      <c r="AF56">
        <f t="shared" si="29"/>
        <v>3.4050000000000004E-4</v>
      </c>
      <c r="AG56">
        <f t="shared" si="30"/>
        <v>3.3350000000000003E-4</v>
      </c>
    </row>
    <row r="57" spans="1:33" x14ac:dyDescent="0.15">
      <c r="A57" s="3">
        <v>250</v>
      </c>
      <c r="B57" s="4">
        <v>0.97599999999999998</v>
      </c>
      <c r="C57" s="4">
        <v>0.97699999999999998</v>
      </c>
      <c r="D57" s="4">
        <v>0.97399999999999998</v>
      </c>
      <c r="E57" s="4">
        <v>0.96799999999999997</v>
      </c>
      <c r="F57" s="4">
        <v>0.95799999999999996</v>
      </c>
      <c r="G57" s="4">
        <v>0.94599999999999995</v>
      </c>
      <c r="H57" s="4">
        <v>0.93200000000000005</v>
      </c>
      <c r="I57" s="4">
        <v>0.91700000000000004</v>
      </c>
      <c r="J57" s="4">
        <v>0.90100000000000002</v>
      </c>
      <c r="K57" s="4">
        <v>0.88400000000000001</v>
      </c>
      <c r="L57" s="4">
        <v>0.86699999999999999</v>
      </c>
      <c r="M57" s="4">
        <v>0.85</v>
      </c>
      <c r="N57" s="4">
        <v>0.83399999999999996</v>
      </c>
      <c r="O57" s="4">
        <v>0.81699999999999995</v>
      </c>
      <c r="P57" s="4">
        <v>0.80100000000000005</v>
      </c>
      <c r="R57" s="3">
        <v>250</v>
      </c>
      <c r="S57">
        <f t="shared" si="16"/>
        <v>3.9039999999999995E-4</v>
      </c>
      <c r="T57">
        <f t="shared" si="17"/>
        <v>3.9079999999999996E-4</v>
      </c>
      <c r="U57">
        <f t="shared" si="18"/>
        <v>3.8959999999999998E-4</v>
      </c>
      <c r="V57">
        <f t="shared" si="19"/>
        <v>3.8719999999999998E-4</v>
      </c>
      <c r="W57">
        <f t="shared" si="20"/>
        <v>3.8319999999999999E-4</v>
      </c>
      <c r="X57">
        <f t="shared" si="21"/>
        <v>3.7839999999999998E-4</v>
      </c>
      <c r="Y57">
        <f t="shared" si="22"/>
        <v>3.7280000000000001E-4</v>
      </c>
      <c r="Z57">
        <f t="shared" si="23"/>
        <v>3.6680000000000003E-4</v>
      </c>
      <c r="AA57">
        <f t="shared" si="24"/>
        <v>3.6039999999999998E-4</v>
      </c>
      <c r="AB57">
        <f t="shared" si="25"/>
        <v>3.5360000000000003E-4</v>
      </c>
      <c r="AC57">
        <f t="shared" si="26"/>
        <v>3.4679999999999997E-4</v>
      </c>
      <c r="AD57">
        <f t="shared" si="27"/>
        <v>3.3999999999999997E-4</v>
      </c>
      <c r="AE57">
        <f t="shared" si="28"/>
        <v>3.3360000000000003E-4</v>
      </c>
      <c r="AF57">
        <f t="shared" si="29"/>
        <v>3.2679999999999997E-4</v>
      </c>
      <c r="AG57">
        <f t="shared" si="30"/>
        <v>3.2040000000000004E-4</v>
      </c>
    </row>
    <row r="58" spans="1:33" x14ac:dyDescent="0.15">
      <c r="A58" s="3">
        <v>300</v>
      </c>
      <c r="B58" s="4">
        <v>1.06</v>
      </c>
      <c r="C58" s="4">
        <v>1.06</v>
      </c>
      <c r="D58" s="4">
        <v>1.06</v>
      </c>
      <c r="E58" s="4">
        <v>1.06</v>
      </c>
      <c r="F58" s="4">
        <v>1.05</v>
      </c>
      <c r="G58" s="4">
        <v>1.05</v>
      </c>
      <c r="H58" s="4">
        <v>1.04</v>
      </c>
      <c r="I58" s="4">
        <v>1.02</v>
      </c>
      <c r="J58" s="4">
        <v>1.01</v>
      </c>
      <c r="K58" s="4">
        <v>0.997</v>
      </c>
      <c r="L58" s="4">
        <v>0.98199999999999998</v>
      </c>
      <c r="M58" s="4">
        <v>0.96599999999999997</v>
      </c>
      <c r="N58" s="4">
        <v>0.94899999999999995</v>
      </c>
      <c r="O58" s="4">
        <v>0.93200000000000005</v>
      </c>
      <c r="P58" s="4">
        <v>0.91500000000000004</v>
      </c>
      <c r="R58" s="3">
        <v>300</v>
      </c>
      <c r="S58">
        <f t="shared" si="16"/>
        <v>3.5333333333333337E-4</v>
      </c>
      <c r="T58">
        <f t="shared" si="17"/>
        <v>3.5333333333333337E-4</v>
      </c>
      <c r="U58">
        <f t="shared" si="18"/>
        <v>3.5333333333333337E-4</v>
      </c>
      <c r="V58">
        <f t="shared" si="19"/>
        <v>3.5333333333333337E-4</v>
      </c>
      <c r="W58">
        <f t="shared" si="20"/>
        <v>3.5000000000000005E-4</v>
      </c>
      <c r="X58">
        <f t="shared" si="21"/>
        <v>3.5000000000000005E-4</v>
      </c>
      <c r="Y58">
        <f t="shared" si="22"/>
        <v>3.4666666666666667E-4</v>
      </c>
      <c r="Z58">
        <f t="shared" si="23"/>
        <v>3.4000000000000002E-4</v>
      </c>
      <c r="AA58">
        <f t="shared" si="24"/>
        <v>3.366666666666667E-4</v>
      </c>
      <c r="AB58">
        <f t="shared" si="25"/>
        <v>3.323333333333333E-4</v>
      </c>
      <c r="AC58">
        <f t="shared" si="26"/>
        <v>3.2733333333333334E-4</v>
      </c>
      <c r="AD58">
        <f t="shared" si="27"/>
        <v>3.2199999999999997E-4</v>
      </c>
      <c r="AE58">
        <f t="shared" si="28"/>
        <v>3.1633333333333334E-4</v>
      </c>
      <c r="AF58">
        <f t="shared" si="29"/>
        <v>3.1066666666666666E-4</v>
      </c>
      <c r="AG58">
        <f t="shared" si="30"/>
        <v>3.0499999999999999E-4</v>
      </c>
    </row>
    <row r="59" spans="1:33" x14ac:dyDescent="0.15">
      <c r="A59" s="3">
        <v>350</v>
      </c>
      <c r="B59" s="4">
        <v>1.1200000000000001</v>
      </c>
      <c r="C59" s="4">
        <v>1.1200000000000001</v>
      </c>
      <c r="D59" s="4">
        <v>1.1200000000000001</v>
      </c>
      <c r="E59" s="4">
        <v>1.1200000000000001</v>
      </c>
      <c r="F59" s="4">
        <v>1.1200000000000001</v>
      </c>
      <c r="G59" s="4">
        <v>1.1200000000000001</v>
      </c>
      <c r="H59" s="4">
        <v>1.1100000000000001</v>
      </c>
      <c r="I59" s="4">
        <v>1.1000000000000001</v>
      </c>
      <c r="J59" s="4">
        <v>1.1000000000000001</v>
      </c>
      <c r="K59" s="4">
        <v>1.08</v>
      </c>
      <c r="L59" s="4">
        <v>1.07</v>
      </c>
      <c r="M59" s="4">
        <v>1.06</v>
      </c>
      <c r="N59" s="4">
        <v>1.04</v>
      </c>
      <c r="O59" s="4">
        <v>1.03</v>
      </c>
      <c r="P59" s="4">
        <v>1.01</v>
      </c>
      <c r="R59" s="3">
        <v>350</v>
      </c>
      <c r="S59">
        <f t="shared" si="16"/>
        <v>3.2000000000000003E-4</v>
      </c>
      <c r="T59">
        <f t="shared" si="17"/>
        <v>3.2000000000000003E-4</v>
      </c>
      <c r="U59">
        <f t="shared" si="18"/>
        <v>3.2000000000000003E-4</v>
      </c>
      <c r="V59">
        <f t="shared" si="19"/>
        <v>3.2000000000000003E-4</v>
      </c>
      <c r="W59">
        <f t="shared" si="20"/>
        <v>3.2000000000000003E-4</v>
      </c>
      <c r="X59">
        <f t="shared" si="21"/>
        <v>3.2000000000000003E-4</v>
      </c>
      <c r="Y59">
        <f t="shared" si="22"/>
        <v>3.171428571428572E-4</v>
      </c>
      <c r="Z59">
        <f t="shared" si="23"/>
        <v>3.1428571428571432E-4</v>
      </c>
      <c r="AA59">
        <f t="shared" si="24"/>
        <v>3.1428571428571432E-4</v>
      </c>
      <c r="AB59">
        <f t="shared" si="25"/>
        <v>3.0857142857142861E-4</v>
      </c>
      <c r="AC59">
        <f t="shared" si="26"/>
        <v>3.0571428571428573E-4</v>
      </c>
      <c r="AD59">
        <f t="shared" si="27"/>
        <v>3.0285714285714291E-4</v>
      </c>
      <c r="AE59">
        <f t="shared" si="28"/>
        <v>2.9714285714285715E-4</v>
      </c>
      <c r="AF59">
        <f t="shared" si="29"/>
        <v>2.9428571428571432E-4</v>
      </c>
      <c r="AG59">
        <f t="shared" si="30"/>
        <v>2.8857142857142862E-4</v>
      </c>
    </row>
    <row r="60" spans="1:33" x14ac:dyDescent="0.15">
      <c r="A60" s="3">
        <v>400</v>
      </c>
      <c r="B60" s="4">
        <v>1.1599999999999999</v>
      </c>
      <c r="C60" s="4">
        <v>1.17</v>
      </c>
      <c r="D60" s="4">
        <v>1.17</v>
      </c>
      <c r="E60" s="4">
        <v>1.17</v>
      </c>
      <c r="F60" s="4">
        <v>1.17</v>
      </c>
      <c r="G60" s="4">
        <v>1.17</v>
      </c>
      <c r="H60" s="4">
        <v>1.17</v>
      </c>
      <c r="I60" s="4">
        <v>1.17</v>
      </c>
      <c r="J60" s="4">
        <v>1.1599999999999999</v>
      </c>
      <c r="K60" s="4">
        <v>1.1499999999999999</v>
      </c>
      <c r="L60" s="4">
        <v>1.1399999999999999</v>
      </c>
      <c r="M60" s="4">
        <v>1.1299999999999999</v>
      </c>
      <c r="N60" s="4">
        <v>1.1200000000000001</v>
      </c>
      <c r="O60" s="4">
        <v>1.1000000000000001</v>
      </c>
      <c r="P60" s="4">
        <v>1.0900000000000001</v>
      </c>
      <c r="R60" s="3">
        <v>400</v>
      </c>
      <c r="S60">
        <f t="shared" si="16"/>
        <v>2.9E-4</v>
      </c>
      <c r="T60">
        <f t="shared" si="17"/>
        <v>2.9250000000000001E-4</v>
      </c>
      <c r="U60">
        <f t="shared" si="18"/>
        <v>2.9250000000000001E-4</v>
      </c>
      <c r="V60">
        <f t="shared" si="19"/>
        <v>2.9250000000000001E-4</v>
      </c>
      <c r="W60">
        <f t="shared" si="20"/>
        <v>2.9250000000000001E-4</v>
      </c>
      <c r="X60">
        <f t="shared" si="21"/>
        <v>2.9250000000000001E-4</v>
      </c>
      <c r="Y60">
        <f t="shared" si="22"/>
        <v>2.9250000000000001E-4</v>
      </c>
      <c r="Z60">
        <f t="shared" si="23"/>
        <v>2.9250000000000001E-4</v>
      </c>
      <c r="AA60">
        <f t="shared" si="24"/>
        <v>2.9E-4</v>
      </c>
      <c r="AB60">
        <f t="shared" si="25"/>
        <v>2.875E-4</v>
      </c>
      <c r="AC60">
        <f t="shared" si="26"/>
        <v>2.8499999999999999E-4</v>
      </c>
      <c r="AD60">
        <f t="shared" si="27"/>
        <v>2.8249999999999998E-4</v>
      </c>
      <c r="AE60">
        <f t="shared" si="28"/>
        <v>2.8000000000000003E-4</v>
      </c>
      <c r="AF60">
        <f t="shared" si="29"/>
        <v>2.7500000000000002E-4</v>
      </c>
      <c r="AG60">
        <f t="shared" si="30"/>
        <v>2.7250000000000001E-4</v>
      </c>
    </row>
    <row r="61" spans="1:33" x14ac:dyDescent="0.15">
      <c r="A61" s="3">
        <v>450</v>
      </c>
      <c r="B61" s="4">
        <v>1.2</v>
      </c>
      <c r="C61" s="4">
        <v>1.21</v>
      </c>
      <c r="D61" s="4">
        <v>1.21</v>
      </c>
      <c r="E61" s="4">
        <v>1.22</v>
      </c>
      <c r="F61" s="4">
        <v>1.22</v>
      </c>
      <c r="G61" s="4">
        <v>1.22</v>
      </c>
      <c r="H61" s="4">
        <v>1.22</v>
      </c>
      <c r="I61" s="4">
        <v>1.21</v>
      </c>
      <c r="J61" s="4">
        <v>1.21</v>
      </c>
      <c r="K61" s="4">
        <v>1.2</v>
      </c>
      <c r="L61" s="4">
        <v>1.2</v>
      </c>
      <c r="M61" s="4">
        <v>1.19</v>
      </c>
      <c r="N61" s="4">
        <v>1.18</v>
      </c>
      <c r="O61" s="4">
        <v>1.17</v>
      </c>
      <c r="P61" s="4">
        <v>1.1599999999999999</v>
      </c>
      <c r="R61" s="3">
        <v>450</v>
      </c>
      <c r="S61">
        <f t="shared" si="16"/>
        <v>2.6666666666666668E-4</v>
      </c>
      <c r="T61">
        <f t="shared" si="17"/>
        <v>2.6888888888888888E-4</v>
      </c>
      <c r="U61">
        <f t="shared" si="18"/>
        <v>2.6888888888888888E-4</v>
      </c>
      <c r="V61">
        <f t="shared" si="19"/>
        <v>2.7111111111111113E-4</v>
      </c>
      <c r="W61">
        <f t="shared" si="20"/>
        <v>2.7111111111111113E-4</v>
      </c>
      <c r="X61">
        <f t="shared" si="21"/>
        <v>2.7111111111111113E-4</v>
      </c>
      <c r="Y61">
        <f t="shared" si="22"/>
        <v>2.7111111111111113E-4</v>
      </c>
      <c r="Z61">
        <f t="shared" si="23"/>
        <v>2.6888888888888888E-4</v>
      </c>
      <c r="AA61">
        <f t="shared" si="24"/>
        <v>2.6888888888888888E-4</v>
      </c>
      <c r="AB61">
        <f t="shared" si="25"/>
        <v>2.6666666666666668E-4</v>
      </c>
      <c r="AC61">
        <f t="shared" si="26"/>
        <v>2.6666666666666668E-4</v>
      </c>
      <c r="AD61">
        <f t="shared" si="27"/>
        <v>2.6444444444444443E-4</v>
      </c>
      <c r="AE61">
        <f t="shared" si="28"/>
        <v>2.6222222222222223E-4</v>
      </c>
      <c r="AF61">
        <f t="shared" si="29"/>
        <v>2.5999999999999998E-4</v>
      </c>
      <c r="AG61">
        <f t="shared" si="30"/>
        <v>2.5777777777777778E-4</v>
      </c>
    </row>
    <row r="62" spans="1:33" x14ac:dyDescent="0.15">
      <c r="A62" s="3">
        <v>500</v>
      </c>
      <c r="B62" s="4">
        <v>1.23</v>
      </c>
      <c r="C62" s="4">
        <v>1.24</v>
      </c>
      <c r="D62" s="4">
        <v>1.24</v>
      </c>
      <c r="E62" s="4">
        <v>1.25</v>
      </c>
      <c r="F62" s="4">
        <v>1.25</v>
      </c>
      <c r="G62" s="4">
        <v>1.26</v>
      </c>
      <c r="H62" s="4">
        <v>1.26</v>
      </c>
      <c r="I62" s="4">
        <v>1.26</v>
      </c>
      <c r="J62" s="4">
        <v>1.25</v>
      </c>
      <c r="K62" s="4">
        <v>1.25</v>
      </c>
      <c r="L62" s="4">
        <v>1.24</v>
      </c>
      <c r="M62" s="4">
        <v>1.24</v>
      </c>
      <c r="N62" s="4">
        <v>1.23</v>
      </c>
      <c r="O62" s="4">
        <v>1.22</v>
      </c>
      <c r="P62" s="4">
        <v>1.21</v>
      </c>
      <c r="R62" s="3">
        <v>500</v>
      </c>
      <c r="S62">
        <f t="shared" si="16"/>
        <v>2.4600000000000002E-4</v>
      </c>
      <c r="T62">
        <f t="shared" si="17"/>
        <v>2.4800000000000001E-4</v>
      </c>
      <c r="U62">
        <f t="shared" si="18"/>
        <v>2.4800000000000001E-4</v>
      </c>
      <c r="V62">
        <f t="shared" si="19"/>
        <v>2.5000000000000001E-4</v>
      </c>
      <c r="W62">
        <f t="shared" si="20"/>
        <v>2.5000000000000001E-4</v>
      </c>
      <c r="X62">
        <f t="shared" si="21"/>
        <v>2.52E-4</v>
      </c>
      <c r="Y62">
        <f t="shared" si="22"/>
        <v>2.52E-4</v>
      </c>
      <c r="Z62">
        <f t="shared" si="23"/>
        <v>2.52E-4</v>
      </c>
      <c r="AA62">
        <f t="shared" si="24"/>
        <v>2.5000000000000001E-4</v>
      </c>
      <c r="AB62">
        <f t="shared" si="25"/>
        <v>2.5000000000000001E-4</v>
      </c>
      <c r="AC62">
        <f t="shared" si="26"/>
        <v>2.4800000000000001E-4</v>
      </c>
      <c r="AD62">
        <f t="shared" si="27"/>
        <v>2.4800000000000001E-4</v>
      </c>
      <c r="AE62">
        <f t="shared" si="28"/>
        <v>2.4600000000000002E-4</v>
      </c>
      <c r="AF62">
        <f t="shared" si="29"/>
        <v>2.4399999999999999E-4</v>
      </c>
      <c r="AG62">
        <f t="shared" si="30"/>
        <v>2.42E-4</v>
      </c>
    </row>
    <row r="63" spans="1:33" x14ac:dyDescent="0.15">
      <c r="A63" s="3">
        <v>550</v>
      </c>
      <c r="B63" s="4">
        <v>1.26</v>
      </c>
      <c r="C63" s="4">
        <v>1.26</v>
      </c>
      <c r="D63" s="4">
        <v>1.27</v>
      </c>
      <c r="E63" s="4">
        <v>1.28</v>
      </c>
      <c r="F63" s="4">
        <v>1.28</v>
      </c>
      <c r="G63" s="4">
        <v>1.29</v>
      </c>
      <c r="H63" s="4">
        <v>1.29</v>
      </c>
      <c r="I63" s="4">
        <v>1.29</v>
      </c>
      <c r="J63" s="4">
        <v>1.29</v>
      </c>
      <c r="K63" s="4">
        <v>1.29</v>
      </c>
      <c r="L63" s="4">
        <v>1.28</v>
      </c>
      <c r="M63" s="4">
        <v>1.28</v>
      </c>
      <c r="N63" s="4">
        <v>1.27</v>
      </c>
      <c r="O63" s="4">
        <v>1.26</v>
      </c>
      <c r="P63" s="4">
        <v>1.25</v>
      </c>
      <c r="R63" s="3">
        <v>550</v>
      </c>
      <c r="S63">
        <f t="shared" si="16"/>
        <v>2.290909090909091E-4</v>
      </c>
      <c r="T63">
        <f t="shared" si="17"/>
        <v>2.290909090909091E-4</v>
      </c>
      <c r="U63">
        <f t="shared" si="18"/>
        <v>2.3090909090909092E-4</v>
      </c>
      <c r="V63">
        <f t="shared" si="19"/>
        <v>2.3272727272727274E-4</v>
      </c>
      <c r="W63">
        <f t="shared" si="20"/>
        <v>2.3272727272727274E-4</v>
      </c>
      <c r="X63">
        <f t="shared" si="21"/>
        <v>2.3454545454545456E-4</v>
      </c>
      <c r="Y63">
        <f t="shared" si="22"/>
        <v>2.3454545454545456E-4</v>
      </c>
      <c r="Z63">
        <f t="shared" si="23"/>
        <v>2.3454545454545456E-4</v>
      </c>
      <c r="AA63">
        <f t="shared" si="24"/>
        <v>2.3454545454545456E-4</v>
      </c>
      <c r="AB63">
        <f t="shared" si="25"/>
        <v>2.3454545454545456E-4</v>
      </c>
      <c r="AC63">
        <f t="shared" si="26"/>
        <v>2.3272727272727274E-4</v>
      </c>
      <c r="AD63">
        <f t="shared" si="27"/>
        <v>2.3272727272727274E-4</v>
      </c>
      <c r="AE63">
        <f t="shared" si="28"/>
        <v>2.3090909090909092E-4</v>
      </c>
      <c r="AF63">
        <f t="shared" si="29"/>
        <v>2.290909090909091E-4</v>
      </c>
      <c r="AG63">
        <f t="shared" si="30"/>
        <v>2.2727272727272727E-4</v>
      </c>
    </row>
    <row r="64" spans="1:33" x14ac:dyDescent="0.15">
      <c r="A64" s="3">
        <v>600</v>
      </c>
      <c r="B64" s="4">
        <v>1.28</v>
      </c>
      <c r="C64" s="4">
        <v>1.29</v>
      </c>
      <c r="D64" s="4">
        <v>1.3</v>
      </c>
      <c r="E64" s="4">
        <v>1.3</v>
      </c>
      <c r="F64" s="4">
        <v>1.31</v>
      </c>
      <c r="G64" s="4">
        <v>1.31</v>
      </c>
      <c r="H64" s="4">
        <v>1.31</v>
      </c>
      <c r="I64" s="4">
        <v>1.32</v>
      </c>
      <c r="J64" s="4">
        <v>1.32</v>
      </c>
      <c r="K64" s="4">
        <v>1.32</v>
      </c>
      <c r="L64" s="4">
        <v>1.31</v>
      </c>
      <c r="M64" s="4">
        <v>1.31</v>
      </c>
      <c r="N64" s="4">
        <v>1.3</v>
      </c>
      <c r="O64" s="4">
        <v>1.3</v>
      </c>
      <c r="P64" s="4">
        <v>1.29</v>
      </c>
      <c r="R64" s="3">
        <v>600</v>
      </c>
      <c r="S64">
        <f t="shared" si="16"/>
        <v>2.1333333333333333E-4</v>
      </c>
      <c r="T64">
        <f t="shared" si="17"/>
        <v>2.1499999999999999E-4</v>
      </c>
      <c r="U64">
        <f t="shared" si="18"/>
        <v>2.1666666666666668E-4</v>
      </c>
      <c r="V64">
        <f t="shared" si="19"/>
        <v>2.1666666666666668E-4</v>
      </c>
      <c r="W64">
        <f t="shared" si="20"/>
        <v>2.1833333333333335E-4</v>
      </c>
      <c r="X64">
        <f t="shared" si="21"/>
        <v>2.1833333333333335E-4</v>
      </c>
      <c r="Y64">
        <f t="shared" si="22"/>
        <v>2.1833333333333335E-4</v>
      </c>
      <c r="Z64">
        <f t="shared" si="23"/>
        <v>2.2000000000000001E-4</v>
      </c>
      <c r="AA64">
        <f t="shared" si="24"/>
        <v>2.2000000000000001E-4</v>
      </c>
      <c r="AB64">
        <f t="shared" si="25"/>
        <v>2.2000000000000001E-4</v>
      </c>
      <c r="AC64">
        <f t="shared" si="26"/>
        <v>2.1833333333333335E-4</v>
      </c>
      <c r="AD64">
        <f t="shared" si="27"/>
        <v>2.1833333333333335E-4</v>
      </c>
      <c r="AE64">
        <f t="shared" si="28"/>
        <v>2.1666666666666668E-4</v>
      </c>
      <c r="AF64">
        <f t="shared" si="29"/>
        <v>2.1666666666666668E-4</v>
      </c>
      <c r="AG64">
        <f t="shared" si="30"/>
        <v>2.1499999999999999E-4</v>
      </c>
    </row>
    <row r="65" spans="1:33" x14ac:dyDescent="0.15">
      <c r="A65" s="3">
        <v>650</v>
      </c>
      <c r="B65" s="4">
        <v>1.3</v>
      </c>
      <c r="C65" s="4">
        <v>1.31</v>
      </c>
      <c r="D65" s="4">
        <v>1.32</v>
      </c>
      <c r="E65" s="4">
        <v>1.32</v>
      </c>
      <c r="F65" s="4">
        <v>1.33</v>
      </c>
      <c r="G65" s="4">
        <v>1.33</v>
      </c>
      <c r="H65" s="4">
        <v>1.34</v>
      </c>
      <c r="I65" s="4">
        <v>1.34</v>
      </c>
      <c r="J65" s="4">
        <v>1.34</v>
      </c>
      <c r="K65" s="4">
        <v>1.34</v>
      </c>
      <c r="L65" s="4">
        <v>1.34</v>
      </c>
      <c r="M65" s="4">
        <v>1.34</v>
      </c>
      <c r="N65" s="4">
        <v>1.33</v>
      </c>
      <c r="O65" s="4">
        <v>1.33</v>
      </c>
      <c r="P65" s="4">
        <v>1.32</v>
      </c>
      <c r="R65" s="3">
        <v>650</v>
      </c>
      <c r="S65">
        <f t="shared" si="16"/>
        <v>2.0000000000000001E-4</v>
      </c>
      <c r="T65">
        <f t="shared" si="17"/>
        <v>2.0153846153846155E-4</v>
      </c>
      <c r="U65">
        <f t="shared" si="18"/>
        <v>2.0307692307692309E-4</v>
      </c>
      <c r="V65">
        <f t="shared" si="19"/>
        <v>2.0307692307692309E-4</v>
      </c>
      <c r="W65">
        <f t="shared" si="20"/>
        <v>2.0461538461538463E-4</v>
      </c>
      <c r="X65">
        <f t="shared" si="21"/>
        <v>2.0461538461538463E-4</v>
      </c>
      <c r="Y65">
        <f t="shared" si="22"/>
        <v>2.0615384615384617E-4</v>
      </c>
      <c r="Z65">
        <f t="shared" si="23"/>
        <v>2.0615384615384617E-4</v>
      </c>
      <c r="AA65">
        <f t="shared" si="24"/>
        <v>2.0615384615384617E-4</v>
      </c>
      <c r="AB65">
        <f t="shared" si="25"/>
        <v>2.0615384615384617E-4</v>
      </c>
      <c r="AC65">
        <f t="shared" si="26"/>
        <v>2.0615384615384617E-4</v>
      </c>
      <c r="AD65">
        <f t="shared" si="27"/>
        <v>2.0615384615384617E-4</v>
      </c>
      <c r="AE65">
        <f t="shared" si="28"/>
        <v>2.0461538461538463E-4</v>
      </c>
      <c r="AF65">
        <f t="shared" si="29"/>
        <v>2.0461538461538463E-4</v>
      </c>
      <c r="AG65">
        <f t="shared" si="30"/>
        <v>2.0307692307692309E-4</v>
      </c>
    </row>
    <row r="66" spans="1:33" x14ac:dyDescent="0.15">
      <c r="A66" s="3">
        <v>700</v>
      </c>
      <c r="B66" s="4">
        <v>1.32</v>
      </c>
      <c r="C66" s="4">
        <v>1.33</v>
      </c>
      <c r="D66" s="4">
        <v>1.33</v>
      </c>
      <c r="E66" s="4">
        <v>1.34</v>
      </c>
      <c r="F66" s="4">
        <v>1.35</v>
      </c>
      <c r="G66" s="4">
        <v>1.35</v>
      </c>
      <c r="H66" s="4">
        <v>1.36</v>
      </c>
      <c r="I66" s="4">
        <v>1.36</v>
      </c>
      <c r="J66" s="4">
        <v>1.36</v>
      </c>
      <c r="K66" s="4">
        <v>1.36</v>
      </c>
      <c r="L66" s="4">
        <v>1.36</v>
      </c>
      <c r="M66" s="4">
        <v>1.36</v>
      </c>
      <c r="N66" s="4">
        <v>1.36</v>
      </c>
      <c r="O66" s="4">
        <v>1.35</v>
      </c>
      <c r="P66" s="4">
        <v>1.35</v>
      </c>
      <c r="R66" s="3">
        <v>700</v>
      </c>
      <c r="S66">
        <f t="shared" si="16"/>
        <v>1.8857142857142857E-4</v>
      </c>
      <c r="T66">
        <f t="shared" si="17"/>
        <v>1.9000000000000001E-4</v>
      </c>
      <c r="U66">
        <f t="shared" si="18"/>
        <v>1.9000000000000001E-4</v>
      </c>
      <c r="V66">
        <f t="shared" si="19"/>
        <v>1.9142857142857145E-4</v>
      </c>
      <c r="W66">
        <f t="shared" si="20"/>
        <v>1.9285714285714286E-4</v>
      </c>
      <c r="X66">
        <f t="shared" si="21"/>
        <v>1.9285714285714286E-4</v>
      </c>
      <c r="Y66">
        <f t="shared" si="22"/>
        <v>1.942857142857143E-4</v>
      </c>
      <c r="Z66">
        <f t="shared" si="23"/>
        <v>1.942857142857143E-4</v>
      </c>
      <c r="AA66">
        <f t="shared" si="24"/>
        <v>1.942857142857143E-4</v>
      </c>
      <c r="AB66">
        <f t="shared" si="25"/>
        <v>1.942857142857143E-4</v>
      </c>
      <c r="AC66">
        <f t="shared" si="26"/>
        <v>1.942857142857143E-4</v>
      </c>
      <c r="AD66">
        <f t="shared" si="27"/>
        <v>1.942857142857143E-4</v>
      </c>
      <c r="AE66">
        <f t="shared" si="28"/>
        <v>1.942857142857143E-4</v>
      </c>
      <c r="AF66">
        <f t="shared" si="29"/>
        <v>1.9285714285714286E-4</v>
      </c>
      <c r="AG66">
        <f t="shared" si="30"/>
        <v>1.9285714285714286E-4</v>
      </c>
    </row>
  </sheetData>
  <mergeCells count="2">
    <mergeCell ref="B1:P1"/>
    <mergeCell ref="B36:P36"/>
  </mergeCells>
  <phoneticPr fontId="1" type="noConversion"/>
  <pageMargins left="0.75" right="0.75" top="1" bottom="1" header="0.51" footer="0.51"/>
  <pageSetup paperSize="9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Y4"/>
  <sheetViews>
    <sheetView workbookViewId="0">
      <selection activeCell="D22" sqref="D22"/>
    </sheetView>
  </sheetViews>
  <sheetFormatPr defaultRowHeight="14.25" x14ac:dyDescent="0.15"/>
  <sheetData>
    <row r="1" spans="3:25" x14ac:dyDescent="0.15">
      <c r="C1" t="s">
        <v>14</v>
      </c>
      <c r="D1">
        <v>4.3999999999999997E-2</v>
      </c>
    </row>
    <row r="3" spans="3:25" x14ac:dyDescent="0.15">
      <c r="C3">
        <v>-40</v>
      </c>
      <c r="D3">
        <v>-30</v>
      </c>
      <c r="E3">
        <v>-20</v>
      </c>
      <c r="F3">
        <v>-10</v>
      </c>
      <c r="G3">
        <v>0</v>
      </c>
      <c r="H3">
        <v>10</v>
      </c>
      <c r="I3">
        <v>20</v>
      </c>
      <c r="J3">
        <v>30</v>
      </c>
      <c r="K3">
        <v>40</v>
      </c>
      <c r="L3">
        <v>50</v>
      </c>
      <c r="M3">
        <v>60</v>
      </c>
      <c r="N3">
        <v>70</v>
      </c>
      <c r="O3">
        <v>80</v>
      </c>
      <c r="P3">
        <v>90</v>
      </c>
      <c r="Q3">
        <v>100</v>
      </c>
      <c r="R3">
        <v>110</v>
      </c>
      <c r="S3">
        <v>120</v>
      </c>
      <c r="T3">
        <v>130</v>
      </c>
      <c r="U3">
        <v>140</v>
      </c>
      <c r="V3">
        <v>150</v>
      </c>
      <c r="W3">
        <v>160</v>
      </c>
      <c r="X3">
        <v>170</v>
      </c>
      <c r="Y3">
        <v>180</v>
      </c>
    </row>
    <row r="4" spans="3:25" x14ac:dyDescent="0.15">
      <c r="C4">
        <v>1.0860000000000001</v>
      </c>
      <c r="D4">
        <v>1.073</v>
      </c>
      <c r="E4">
        <v>1.0589999999999999</v>
      </c>
      <c r="F4">
        <v>1.046</v>
      </c>
      <c r="G4">
        <v>1.032</v>
      </c>
      <c r="H4">
        <v>1.0189999999999999</v>
      </c>
      <c r="I4">
        <v>1</v>
      </c>
      <c r="J4">
        <v>0.99199999999999999</v>
      </c>
      <c r="K4">
        <v>0.97599999999999998</v>
      </c>
      <c r="L4">
        <v>0.96</v>
      </c>
      <c r="M4">
        <v>0.94399999999999995</v>
      </c>
      <c r="N4">
        <v>0.93100000000000005</v>
      </c>
      <c r="O4">
        <v>0.91700000000000004</v>
      </c>
      <c r="P4">
        <v>0.90300000000000002</v>
      </c>
      <c r="Q4">
        <v>0.89</v>
      </c>
      <c r="R4">
        <v>0.876</v>
      </c>
      <c r="S4">
        <v>0.86199999999999999</v>
      </c>
      <c r="T4">
        <v>0.84899999999999998</v>
      </c>
      <c r="U4">
        <v>0.83399999999999996</v>
      </c>
      <c r="V4">
        <v>0.82299999999999995</v>
      </c>
      <c r="W4">
        <v>0.81200000000000006</v>
      </c>
      <c r="X4">
        <v>0.79100000000000004</v>
      </c>
      <c r="Y4">
        <v>0.76900000000000002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68"/>
  <sheetViews>
    <sheetView topLeftCell="A4" zoomScale="70" zoomScaleNormal="70" zoomScaleSheetLayoutView="100" workbookViewId="0">
      <selection activeCell="H74" sqref="H74"/>
    </sheetView>
  </sheetViews>
  <sheetFormatPr defaultColWidth="9" defaultRowHeight="14.25" x14ac:dyDescent="0.15"/>
  <sheetData>
    <row r="2" spans="2:19" x14ac:dyDescent="0.15">
      <c r="B2" t="s">
        <v>3</v>
      </c>
    </row>
    <row r="3" spans="2:19" x14ac:dyDescent="0.15">
      <c r="D3">
        <v>0</v>
      </c>
      <c r="E3">
        <v>-50</v>
      </c>
      <c r="F3">
        <v>-100</v>
      </c>
      <c r="G3">
        <v>-150</v>
      </c>
      <c r="H3">
        <v>-200</v>
      </c>
      <c r="I3">
        <v>-250</v>
      </c>
      <c r="J3">
        <v>-300</v>
      </c>
      <c r="K3">
        <v>-350</v>
      </c>
      <c r="L3">
        <v>-400</v>
      </c>
      <c r="M3">
        <v>-450</v>
      </c>
      <c r="N3">
        <v>-500</v>
      </c>
      <c r="O3">
        <v>-550</v>
      </c>
      <c r="P3">
        <v>-600</v>
      </c>
      <c r="Q3">
        <v>-650</v>
      </c>
      <c r="R3">
        <v>-700</v>
      </c>
      <c r="S3">
        <v>-750</v>
      </c>
    </row>
    <row r="4" spans="2:19" x14ac:dyDescent="0.15">
      <c r="D4">
        <f>-D3/1.414</f>
        <v>0</v>
      </c>
      <c r="E4">
        <f t="shared" ref="E4:S4" si="0">-E3/1.414</f>
        <v>35.360678925035366</v>
      </c>
      <c r="F4">
        <f t="shared" si="0"/>
        <v>70.721357850070731</v>
      </c>
      <c r="G4">
        <f t="shared" si="0"/>
        <v>106.08203677510609</v>
      </c>
      <c r="H4">
        <f t="shared" si="0"/>
        <v>141.44271570014146</v>
      </c>
      <c r="I4">
        <f t="shared" si="0"/>
        <v>176.80339462517682</v>
      </c>
      <c r="J4">
        <f t="shared" si="0"/>
        <v>212.16407355021218</v>
      </c>
      <c r="K4">
        <f t="shared" si="0"/>
        <v>247.52475247524754</v>
      </c>
      <c r="L4">
        <f t="shared" si="0"/>
        <v>282.88543140028293</v>
      </c>
      <c r="M4">
        <f t="shared" si="0"/>
        <v>318.24611032531828</v>
      </c>
      <c r="N4">
        <f t="shared" si="0"/>
        <v>353.60678925035364</v>
      </c>
      <c r="O4">
        <f t="shared" si="0"/>
        <v>388.967468175389</v>
      </c>
      <c r="P4">
        <f t="shared" si="0"/>
        <v>424.32814710042436</v>
      </c>
      <c r="Q4">
        <f t="shared" si="0"/>
        <v>459.68882602545972</v>
      </c>
      <c r="R4">
        <f t="shared" si="0"/>
        <v>495.04950495049508</v>
      </c>
      <c r="S4">
        <f t="shared" si="0"/>
        <v>530.41018387553049</v>
      </c>
    </row>
    <row r="5" spans="2:19" x14ac:dyDescent="0.15">
      <c r="B5">
        <v>-750</v>
      </c>
      <c r="C5">
        <f>B5/1.414</f>
        <v>-530.41018387553049</v>
      </c>
      <c r="D5">
        <v>1.4800000000000005E-4</v>
      </c>
      <c r="E5">
        <v>1.4800000000000005E-4</v>
      </c>
      <c r="F5">
        <v>1.1799999999999998E-4</v>
      </c>
      <c r="G5">
        <v>1.0799999999999997E-4</v>
      </c>
      <c r="H5">
        <v>1.0249999999999998E-4</v>
      </c>
      <c r="I5">
        <v>9.8799999999999976E-5</v>
      </c>
      <c r="J5">
        <v>9.6666666666666667E-5</v>
      </c>
      <c r="K5">
        <v>9.4857142857142853E-5</v>
      </c>
      <c r="L5">
        <v>9.3499999999999996E-5</v>
      </c>
      <c r="M5">
        <v>9.2444444444444434E-5</v>
      </c>
      <c r="N5">
        <v>9.1600000000000004E-5</v>
      </c>
      <c r="O5">
        <v>9.0981818181818183E-5</v>
      </c>
      <c r="P5">
        <v>9.0499999999999991E-5</v>
      </c>
      <c r="Q5">
        <v>9.0092307692307699E-5</v>
      </c>
      <c r="R5">
        <v>8.9714285714285715E-5</v>
      </c>
      <c r="S5">
        <v>8.9714285714285715E-5</v>
      </c>
    </row>
    <row r="6" spans="2:19" x14ac:dyDescent="0.15">
      <c r="B6">
        <v>-700</v>
      </c>
      <c r="C6">
        <f>B6/1.414</f>
        <v>-495.04950495049508</v>
      </c>
      <c r="D6">
        <v>1.4800000000000005E-4</v>
      </c>
      <c r="E6">
        <v>1.4800000000000005E-4</v>
      </c>
      <c r="F6">
        <v>1.1799999999999998E-4</v>
      </c>
      <c r="G6">
        <v>1.0799999999999997E-4</v>
      </c>
      <c r="H6">
        <v>1.0249999999999998E-4</v>
      </c>
      <c r="I6">
        <v>9.8799999999999976E-5</v>
      </c>
      <c r="J6">
        <v>9.6666666666666667E-5</v>
      </c>
      <c r="K6">
        <v>9.4857142857142853E-5</v>
      </c>
      <c r="L6">
        <v>9.3499999999999996E-5</v>
      </c>
      <c r="M6">
        <v>9.2444444444444434E-5</v>
      </c>
      <c r="N6">
        <v>9.1600000000000004E-5</v>
      </c>
      <c r="O6">
        <v>9.0981818181818183E-5</v>
      </c>
      <c r="P6">
        <v>9.0499999999999991E-5</v>
      </c>
      <c r="Q6">
        <v>9.0092307692307699E-5</v>
      </c>
      <c r="R6">
        <v>8.9714285714285715E-5</v>
      </c>
      <c r="S6">
        <v>8.9714285714285715E-5</v>
      </c>
    </row>
    <row r="7" spans="2:19" x14ac:dyDescent="0.15">
      <c r="B7">
        <v>-650</v>
      </c>
      <c r="C7">
        <f t="shared" ref="C7:C35" si="1">B7/1.414</f>
        <v>-459.68882602545972</v>
      </c>
      <c r="D7">
        <v>1.3399999999999998E-4</v>
      </c>
      <c r="E7">
        <v>1.3399999999999998E-4</v>
      </c>
      <c r="F7">
        <v>1.1199999999999993E-4</v>
      </c>
      <c r="G7">
        <v>1.0399999999999998E-4</v>
      </c>
      <c r="H7">
        <v>9.9999999999999991E-5</v>
      </c>
      <c r="I7">
        <v>9.7599999999999974E-5</v>
      </c>
      <c r="J7">
        <v>9.5999999999999975E-5</v>
      </c>
      <c r="K7">
        <v>9.4571428571428562E-5</v>
      </c>
      <c r="L7">
        <v>9.3499999999999996E-5</v>
      </c>
      <c r="M7">
        <v>9.2666666666666665E-5</v>
      </c>
      <c r="N7">
        <v>9.2199999999999991E-5</v>
      </c>
      <c r="O7">
        <v>9.1763636363636355E-5</v>
      </c>
      <c r="P7">
        <v>9.1416666666666662E-5</v>
      </c>
      <c r="Q7">
        <v>9.1138461538461523E-5</v>
      </c>
      <c r="R7">
        <v>9.0857142857142851E-5</v>
      </c>
      <c r="S7">
        <v>9.0857142857142851E-5</v>
      </c>
    </row>
    <row r="8" spans="2:19" x14ac:dyDescent="0.15">
      <c r="B8">
        <v>-600</v>
      </c>
      <c r="C8">
        <f t="shared" si="1"/>
        <v>-424.32814710042436</v>
      </c>
      <c r="D8">
        <v>1.2000000000000011E-4</v>
      </c>
      <c r="E8">
        <v>1.2000000000000011E-4</v>
      </c>
      <c r="F8">
        <v>1.0600000000000006E-4</v>
      </c>
      <c r="G8">
        <v>1.0066666666666668E-4</v>
      </c>
      <c r="H8">
        <v>9.8500000000000009E-5</v>
      </c>
      <c r="I8">
        <v>9.6400000000000012E-5</v>
      </c>
      <c r="J8">
        <v>9.5333333333333351E-5</v>
      </c>
      <c r="K8">
        <v>9.4571428571428589E-5</v>
      </c>
      <c r="L8">
        <v>9.3750000000000002E-5</v>
      </c>
      <c r="M8">
        <v>9.3333333333333343E-5</v>
      </c>
      <c r="N8">
        <v>9.3000000000000011E-5</v>
      </c>
      <c r="O8">
        <v>9.2745454545454533E-5</v>
      </c>
      <c r="P8">
        <v>9.255E-5</v>
      </c>
      <c r="Q8">
        <v>9.2384615384615392E-5</v>
      </c>
      <c r="R8">
        <v>9.2142857142857152E-5</v>
      </c>
      <c r="S8">
        <v>9.2142857142857152E-5</v>
      </c>
    </row>
    <row r="9" spans="2:19" x14ac:dyDescent="0.15">
      <c r="B9">
        <v>-550</v>
      </c>
      <c r="C9">
        <f t="shared" si="1"/>
        <v>-388.967468175389</v>
      </c>
      <c r="D9">
        <v>1.0800000000000001E-4</v>
      </c>
      <c r="E9">
        <v>1.0800000000000001E-4</v>
      </c>
      <c r="F9">
        <v>1.0099999999999997E-4</v>
      </c>
      <c r="G9">
        <v>9.8666666666666662E-5</v>
      </c>
      <c r="H9">
        <v>9.7E-5</v>
      </c>
      <c r="I9">
        <v>9.6399999999999999E-5</v>
      </c>
      <c r="J9">
        <v>9.5666666666666656E-5</v>
      </c>
      <c r="K9">
        <v>9.4857142857142853E-5</v>
      </c>
      <c r="L9">
        <v>9.4750000000000013E-5</v>
      </c>
      <c r="M9">
        <v>9.4444444444444442E-5</v>
      </c>
      <c r="N9">
        <v>9.4279999999999985E-5</v>
      </c>
      <c r="O9">
        <v>9.4163636363636373E-5</v>
      </c>
      <c r="P9">
        <v>9.4066666666666672E-5</v>
      </c>
      <c r="Q9">
        <v>9.3969230769230772E-5</v>
      </c>
      <c r="R9">
        <v>9.3857142857142856E-5</v>
      </c>
      <c r="S9">
        <v>9.3857142857142856E-5</v>
      </c>
    </row>
    <row r="10" spans="2:19" x14ac:dyDescent="0.15">
      <c r="B10">
        <v>-500</v>
      </c>
      <c r="C10">
        <f t="shared" si="1"/>
        <v>-353.60678925035364</v>
      </c>
      <c r="D10">
        <v>9.3999999999999954E-5</v>
      </c>
      <c r="E10">
        <v>9.3999999999999954E-5</v>
      </c>
      <c r="F10">
        <v>9.5999999999999989E-5</v>
      </c>
      <c r="G10">
        <v>9.5999999999999975E-5</v>
      </c>
      <c r="H10">
        <v>9.5999999999999975E-5</v>
      </c>
      <c r="I10">
        <v>9.5999999999999975E-5</v>
      </c>
      <c r="J10">
        <v>9.5666666666666656E-5</v>
      </c>
      <c r="K10">
        <v>9.5714285714285712E-5</v>
      </c>
      <c r="L10">
        <v>9.5499999999999977E-5</v>
      </c>
      <c r="M10">
        <v>9.5555555555555555E-5</v>
      </c>
      <c r="N10">
        <v>9.5639999999999999E-5</v>
      </c>
      <c r="O10">
        <v>9.5654545454545439E-5</v>
      </c>
      <c r="P10">
        <v>9.5650000000000007E-5</v>
      </c>
      <c r="Q10">
        <v>9.5630769230769228E-5</v>
      </c>
      <c r="R10">
        <v>9.557142857142856E-5</v>
      </c>
      <c r="S10">
        <v>9.557142857142856E-5</v>
      </c>
    </row>
    <row r="11" spans="2:19" x14ac:dyDescent="0.15">
      <c r="B11">
        <v>-450</v>
      </c>
      <c r="C11">
        <f t="shared" si="1"/>
        <v>-318.24611032531828</v>
      </c>
      <c r="D11">
        <v>8.3999999999999982E-5</v>
      </c>
      <c r="E11">
        <v>8.3999999999999982E-5</v>
      </c>
      <c r="F11">
        <v>9.2E-5</v>
      </c>
      <c r="G11">
        <v>9.4666666666666686E-5</v>
      </c>
      <c r="H11">
        <v>9.5500000000000017E-5</v>
      </c>
      <c r="I11">
        <v>9.6000000000000002E-5</v>
      </c>
      <c r="J11">
        <v>9.6333333333333335E-5</v>
      </c>
      <c r="K11">
        <v>9.6571428571428584E-5</v>
      </c>
      <c r="L11">
        <v>9.7E-5</v>
      </c>
      <c r="M11">
        <v>9.7177777777777779E-5</v>
      </c>
      <c r="N11">
        <v>9.7360000000000003E-5</v>
      </c>
      <c r="O11">
        <v>9.7467272727272739E-5</v>
      </c>
      <c r="P11">
        <v>9.7533333333333337E-5</v>
      </c>
      <c r="Q11">
        <v>9.7538461538461529E-5</v>
      </c>
      <c r="R11">
        <v>9.7571428571428568E-5</v>
      </c>
      <c r="S11">
        <v>9.7571428571428568E-5</v>
      </c>
    </row>
    <row r="12" spans="2:19" x14ac:dyDescent="0.15">
      <c r="B12">
        <v>-400</v>
      </c>
      <c r="C12">
        <f t="shared" si="1"/>
        <v>-282.88543140028293</v>
      </c>
      <c r="D12">
        <v>7.5999999999999977E-5</v>
      </c>
      <c r="E12">
        <v>7.5999999999999977E-5</v>
      </c>
      <c r="F12">
        <v>8.8999999999999968E-5</v>
      </c>
      <c r="G12">
        <v>9.333333333333333E-5</v>
      </c>
      <c r="H12">
        <v>9.5500000000000017E-5</v>
      </c>
      <c r="I12">
        <v>9.6799999999999995E-5</v>
      </c>
      <c r="J12">
        <v>9.7666666666666664E-5</v>
      </c>
      <c r="K12">
        <v>9.8285714285714301E-5</v>
      </c>
      <c r="L12">
        <v>9.8500000000000009E-5</v>
      </c>
      <c r="M12">
        <v>9.9222222222222211E-5</v>
      </c>
      <c r="N12">
        <v>9.9499999999999993E-5</v>
      </c>
      <c r="O12">
        <v>9.9672727272727274E-5</v>
      </c>
      <c r="P12">
        <v>9.9766666666666661E-5</v>
      </c>
      <c r="Q12">
        <v>9.9846153846153853E-5</v>
      </c>
      <c r="R12">
        <v>9.9714285714285714E-5</v>
      </c>
      <c r="S12">
        <v>9.9714285714285714E-5</v>
      </c>
    </row>
    <row r="13" spans="2:19" x14ac:dyDescent="0.15">
      <c r="B13">
        <v>-350</v>
      </c>
      <c r="C13">
        <f t="shared" si="1"/>
        <v>-247.52475247524754</v>
      </c>
      <c r="D13">
        <v>6.7999999999999972E-5</v>
      </c>
      <c r="E13">
        <v>6.7999999999999972E-5</v>
      </c>
      <c r="F13">
        <v>8.7000000000000014E-5</v>
      </c>
      <c r="G13">
        <v>9.333333333333333E-5</v>
      </c>
      <c r="H13">
        <v>9.6500000000000001E-5</v>
      </c>
      <c r="I13">
        <v>9.8399999999999993E-5</v>
      </c>
      <c r="J13">
        <v>9.9666666666666672E-5</v>
      </c>
      <c r="K13">
        <v>1.0057142857142856E-4</v>
      </c>
      <c r="L13">
        <v>1.0125000000000001E-4</v>
      </c>
      <c r="M13">
        <v>1.0164444444444444E-4</v>
      </c>
      <c r="N13">
        <v>1.0196000000000001E-4</v>
      </c>
      <c r="O13">
        <v>1.0214545454545456E-4</v>
      </c>
      <c r="P13">
        <v>1.0221666666666667E-4</v>
      </c>
      <c r="Q13">
        <v>1.0215384615384616E-4</v>
      </c>
      <c r="R13">
        <v>1.0200000000000001E-4</v>
      </c>
      <c r="S13">
        <v>1.0200000000000001E-4</v>
      </c>
    </row>
    <row r="14" spans="2:19" x14ac:dyDescent="0.15">
      <c r="B14">
        <v>-300</v>
      </c>
      <c r="C14">
        <f t="shared" si="1"/>
        <v>-212.16407355021218</v>
      </c>
      <c r="D14">
        <v>6.4000000000000051E-5</v>
      </c>
      <c r="E14">
        <v>6.4000000000000051E-5</v>
      </c>
      <c r="F14">
        <v>8.7000000000000014E-5</v>
      </c>
      <c r="G14">
        <v>9.4666666666666673E-5</v>
      </c>
      <c r="H14">
        <v>9.8999999999999994E-5</v>
      </c>
      <c r="I14">
        <v>1.0119999999999999E-4</v>
      </c>
      <c r="J14">
        <v>1.03E-4</v>
      </c>
      <c r="K14">
        <v>1.0399999999999999E-4</v>
      </c>
      <c r="L14">
        <v>1.0449999999999999E-4</v>
      </c>
      <c r="M14">
        <v>1.0495555555555555E-4</v>
      </c>
      <c r="N14">
        <v>1.0515599999999999E-4</v>
      </c>
      <c r="O14">
        <v>1.0552727272727273E-4</v>
      </c>
      <c r="P14">
        <v>1.0511666666666666E-4</v>
      </c>
      <c r="Q14">
        <v>1.0492307692307693E-4</v>
      </c>
      <c r="R14">
        <v>1.0471428571428571E-4</v>
      </c>
      <c r="S14">
        <v>1.0471428571428571E-4</v>
      </c>
    </row>
    <row r="15" spans="2:19" x14ac:dyDescent="0.15">
      <c r="B15">
        <v>-250</v>
      </c>
      <c r="C15">
        <f t="shared" si="1"/>
        <v>-176.80339462517682</v>
      </c>
      <c r="D15">
        <v>6.4000000000000051E-5</v>
      </c>
      <c r="E15">
        <v>6.4000000000000051E-5</v>
      </c>
      <c r="F15">
        <v>8.9999999999999938E-5</v>
      </c>
      <c r="G15">
        <v>9.8666666666666662E-5</v>
      </c>
      <c r="H15">
        <v>1.03E-4</v>
      </c>
      <c r="I15">
        <v>1.0559999999999998E-4</v>
      </c>
      <c r="J15">
        <v>1.0733333333333333E-4</v>
      </c>
      <c r="K15">
        <v>1.0799999999999998E-4</v>
      </c>
      <c r="L15">
        <v>1.0850000000000001E-4</v>
      </c>
      <c r="M15">
        <v>1.0855555555555556E-4</v>
      </c>
      <c r="N15">
        <v>1.0848200000000001E-4</v>
      </c>
      <c r="O15">
        <v>1.0827272727272727E-4</v>
      </c>
      <c r="P15">
        <v>1.0799999999999998E-4</v>
      </c>
      <c r="Q15">
        <v>1.0753846153846154E-4</v>
      </c>
      <c r="R15">
        <v>1.07E-4</v>
      </c>
      <c r="S15">
        <v>1.07E-4</v>
      </c>
    </row>
    <row r="16" spans="2:19" x14ac:dyDescent="0.15">
      <c r="B16">
        <v>-200</v>
      </c>
      <c r="C16">
        <f t="shared" si="1"/>
        <v>-141.44271570014146</v>
      </c>
      <c r="D16">
        <v>7.199999999999988E-5</v>
      </c>
      <c r="E16">
        <v>7.199999999999988E-5</v>
      </c>
      <c r="F16">
        <v>9.7999999999999956E-5</v>
      </c>
      <c r="G16">
        <v>1.0599999999999999E-4</v>
      </c>
      <c r="H16">
        <v>1.0999999999999999E-4</v>
      </c>
      <c r="I16">
        <v>1.116E-4</v>
      </c>
      <c r="J16">
        <v>1.1266666666666666E-4</v>
      </c>
      <c r="K16">
        <v>1.1257142857142857E-4</v>
      </c>
      <c r="L16">
        <v>1.1252499999999998E-4</v>
      </c>
      <c r="M16">
        <v>1.1219999999999999E-4</v>
      </c>
      <c r="N16">
        <v>1.1176E-4</v>
      </c>
      <c r="O16">
        <v>1.1121818181818183E-4</v>
      </c>
      <c r="P16">
        <v>1.1066666666666666E-4</v>
      </c>
      <c r="Q16">
        <v>1.0984615384615384E-4</v>
      </c>
      <c r="R16">
        <v>1.0914285714285713E-4</v>
      </c>
      <c r="S16">
        <v>1.0914285714285713E-4</v>
      </c>
    </row>
    <row r="17" spans="2:19" x14ac:dyDescent="0.15">
      <c r="B17">
        <v>-150</v>
      </c>
      <c r="C17">
        <f t="shared" si="1"/>
        <v>-106.08203677510609</v>
      </c>
      <c r="D17">
        <v>8.8000000000000079E-5</v>
      </c>
      <c r="E17">
        <v>8.8000000000000079E-5</v>
      </c>
      <c r="F17">
        <v>1.0899999999999998E-4</v>
      </c>
      <c r="G17">
        <v>1.1466666666666668E-4</v>
      </c>
      <c r="H17">
        <v>1.1650000000000001E-4</v>
      </c>
      <c r="I17">
        <v>1.1680000000000001E-4</v>
      </c>
      <c r="J17">
        <v>1.1666666666666667E-4</v>
      </c>
      <c r="K17">
        <v>1.1628571428571429E-4</v>
      </c>
      <c r="L17">
        <v>1.1570000000000001E-4</v>
      </c>
      <c r="M17">
        <v>1.1500000000000002E-4</v>
      </c>
      <c r="N17">
        <v>1.1424000000000002E-4</v>
      </c>
      <c r="O17">
        <v>1.133818181818182E-4</v>
      </c>
      <c r="P17">
        <v>1.125E-4</v>
      </c>
      <c r="Q17">
        <v>1.1153846153846153E-4</v>
      </c>
      <c r="R17">
        <v>1.1057142857142857E-4</v>
      </c>
      <c r="S17">
        <v>1.1057142857142857E-4</v>
      </c>
    </row>
    <row r="18" spans="2:19" x14ac:dyDescent="0.15">
      <c r="B18">
        <v>-100</v>
      </c>
      <c r="C18">
        <f t="shared" si="1"/>
        <v>-70.721357850070731</v>
      </c>
      <c r="D18">
        <v>1.0800000000000001E-4</v>
      </c>
      <c r="E18">
        <v>1.0800000000000001E-4</v>
      </c>
      <c r="F18">
        <v>1.1899999999999995E-4</v>
      </c>
      <c r="G18">
        <v>1.2133333333333329E-4</v>
      </c>
      <c r="H18">
        <v>1.215E-4</v>
      </c>
      <c r="I18">
        <v>1.2119999999999999E-4</v>
      </c>
      <c r="J18">
        <v>1.2033333333333332E-4</v>
      </c>
      <c r="K18">
        <v>1.1942857142857142E-4</v>
      </c>
      <c r="L18">
        <v>1.184E-4</v>
      </c>
      <c r="M18">
        <v>1.1732666666666665E-4</v>
      </c>
      <c r="N18">
        <v>1.1622000000000001E-4</v>
      </c>
      <c r="O18">
        <v>1.150909090909091E-4</v>
      </c>
      <c r="P18">
        <v>1.1400000000000001E-4</v>
      </c>
      <c r="Q18">
        <v>1.1276923076923077E-4</v>
      </c>
      <c r="R18">
        <v>1.1171428571428569E-4</v>
      </c>
      <c r="S18">
        <v>1.1171428571428569E-4</v>
      </c>
    </row>
    <row r="19" spans="2:19" x14ac:dyDescent="0.15">
      <c r="B19">
        <v>-50</v>
      </c>
      <c r="C19">
        <f t="shared" si="1"/>
        <v>-35.360678925035366</v>
      </c>
      <c r="D19">
        <v>1.1799999999999998E-4</v>
      </c>
      <c r="E19">
        <v>1.1799999999999998E-4</v>
      </c>
      <c r="F19">
        <v>1.2400000000000001E-4</v>
      </c>
      <c r="G19">
        <v>1.2466666666666664E-4</v>
      </c>
      <c r="H19">
        <v>1.2449999999999999E-4</v>
      </c>
      <c r="I19">
        <v>1.236E-4</v>
      </c>
      <c r="J19">
        <v>1.2233333333333334E-4</v>
      </c>
      <c r="K19">
        <v>1.2142857142857143E-4</v>
      </c>
      <c r="L19">
        <v>1.20025E-4</v>
      </c>
      <c r="M19">
        <v>1.1869777777777778E-4</v>
      </c>
      <c r="N19">
        <v>1.1734E-4</v>
      </c>
      <c r="O19">
        <v>1.1599999999999999E-4</v>
      </c>
      <c r="P19">
        <v>1.1466666666666667E-4</v>
      </c>
      <c r="Q19">
        <v>1.1353846153846154E-4</v>
      </c>
      <c r="R19">
        <v>1.1228571428571428E-4</v>
      </c>
      <c r="S19">
        <v>1.1228571428571428E-4</v>
      </c>
    </row>
    <row r="20" spans="2:19" x14ac:dyDescent="0.15">
      <c r="B20">
        <v>0</v>
      </c>
      <c r="C20">
        <f t="shared" si="1"/>
        <v>0</v>
      </c>
      <c r="D20">
        <f>D19*0.5+D21*0.5</f>
        <v>1.17E-4</v>
      </c>
      <c r="E20">
        <f t="shared" ref="E20:S20" si="2">E19*0.5+E21*0.5</f>
        <v>1.17E-4</v>
      </c>
      <c r="F20">
        <f t="shared" si="2"/>
        <v>1.2349999999999997E-4</v>
      </c>
      <c r="G20">
        <f t="shared" si="2"/>
        <v>1.2433333333333334E-4</v>
      </c>
      <c r="H20">
        <f t="shared" si="2"/>
        <v>1.2399999999999998E-4</v>
      </c>
      <c r="I20">
        <f t="shared" si="2"/>
        <v>1.2320000000000001E-4</v>
      </c>
      <c r="J20">
        <f t="shared" si="2"/>
        <v>1.2216666666666669E-4</v>
      </c>
      <c r="K20">
        <f t="shared" si="2"/>
        <v>1.2114285714285714E-4</v>
      </c>
      <c r="L20">
        <f t="shared" si="2"/>
        <v>1.1983749999999999E-4</v>
      </c>
      <c r="M20">
        <f t="shared" si="2"/>
        <v>1.1852555555555555E-4</v>
      </c>
      <c r="N20">
        <f t="shared" si="2"/>
        <v>1.1718E-4</v>
      </c>
      <c r="O20">
        <f t="shared" si="2"/>
        <v>1.158181818181818E-4</v>
      </c>
      <c r="P20">
        <f t="shared" si="2"/>
        <v>1.1458333333333334E-4</v>
      </c>
      <c r="Q20">
        <f t="shared" si="2"/>
        <v>1.1338461538461537E-4</v>
      </c>
      <c r="R20">
        <f t="shared" si="2"/>
        <v>1.1214285714285714E-4</v>
      </c>
      <c r="S20">
        <f t="shared" si="2"/>
        <v>1.1214285714285714E-4</v>
      </c>
    </row>
    <row r="21" spans="2:19" x14ac:dyDescent="0.15">
      <c r="B21">
        <v>50</v>
      </c>
      <c r="C21">
        <f t="shared" si="1"/>
        <v>35.360678925035366</v>
      </c>
      <c r="D21">
        <v>1.1600000000000001E-4</v>
      </c>
      <c r="E21">
        <v>1.1600000000000001E-4</v>
      </c>
      <c r="F21">
        <v>1.2299999999999995E-4</v>
      </c>
      <c r="G21">
        <v>1.2400000000000001E-4</v>
      </c>
      <c r="H21">
        <v>1.2349999999999999E-4</v>
      </c>
      <c r="I21">
        <v>1.228E-4</v>
      </c>
      <c r="J21">
        <v>1.2200000000000001E-4</v>
      </c>
      <c r="K21">
        <v>1.2085714285714285E-4</v>
      </c>
      <c r="L21">
        <v>1.1964999999999998E-4</v>
      </c>
      <c r="M21">
        <v>1.1835333333333333E-4</v>
      </c>
      <c r="N21">
        <v>1.1702E-4</v>
      </c>
      <c r="O21">
        <v>1.1563636363636363E-4</v>
      </c>
      <c r="P21">
        <v>1.145E-4</v>
      </c>
      <c r="Q21">
        <v>1.1323076923076922E-4</v>
      </c>
      <c r="R21">
        <v>1.12E-4</v>
      </c>
      <c r="S21">
        <v>1.12E-4</v>
      </c>
    </row>
    <row r="22" spans="2:19" x14ac:dyDescent="0.15">
      <c r="B22">
        <v>100</v>
      </c>
      <c r="C22">
        <f t="shared" si="1"/>
        <v>70.721357850070731</v>
      </c>
      <c r="D22">
        <v>1.0199999999999996E-4</v>
      </c>
      <c r="E22">
        <v>1.0199999999999996E-4</v>
      </c>
      <c r="F22">
        <v>1.1599999999999992E-4</v>
      </c>
      <c r="G22">
        <v>1.1933333333333331E-4</v>
      </c>
      <c r="H22">
        <v>1.1999999999999996E-4</v>
      </c>
      <c r="I22">
        <v>1.1999999999999999E-4</v>
      </c>
      <c r="J22">
        <v>1.1933333333333332E-4</v>
      </c>
      <c r="K22">
        <v>1.1857142857142856E-4</v>
      </c>
      <c r="L22">
        <v>1.1765E-4</v>
      </c>
      <c r="M22">
        <v>1.1666E-4</v>
      </c>
      <c r="N22">
        <v>1.1561999999999999E-4</v>
      </c>
      <c r="O22">
        <v>1.1450909090909091E-4</v>
      </c>
      <c r="P22">
        <v>1.1333333333333333E-4</v>
      </c>
      <c r="Q22">
        <v>1.123076923076923E-4</v>
      </c>
      <c r="R22">
        <v>1.1128571428571426E-4</v>
      </c>
      <c r="S22">
        <v>1.1128571428571426E-4</v>
      </c>
    </row>
    <row r="23" spans="2:19" x14ac:dyDescent="0.15">
      <c r="B23">
        <v>150</v>
      </c>
      <c r="C23">
        <f t="shared" si="1"/>
        <v>106.08203677510609</v>
      </c>
      <c r="D23">
        <v>8.2000000000000028E-5</v>
      </c>
      <c r="E23">
        <v>8.2000000000000028E-5</v>
      </c>
      <c r="F23">
        <v>1.0600000000000006E-4</v>
      </c>
      <c r="G23">
        <v>1.1200000000000001E-4</v>
      </c>
      <c r="H23">
        <v>1.145E-4</v>
      </c>
      <c r="I23">
        <v>1.156E-4</v>
      </c>
      <c r="J23">
        <v>1.1566666666666665E-4</v>
      </c>
      <c r="K23">
        <v>1.1542857142857143E-4</v>
      </c>
      <c r="L23">
        <v>1.1485E-4</v>
      </c>
      <c r="M23">
        <v>1.1424444444444444E-4</v>
      </c>
      <c r="N23">
        <v>1.1354E-4</v>
      </c>
      <c r="O23">
        <v>1.1274545454545456E-4</v>
      </c>
      <c r="P23">
        <v>1.1183333333333333E-4</v>
      </c>
      <c r="Q23">
        <v>1.1092307692307693E-4</v>
      </c>
      <c r="R23">
        <v>1.1014285714285714E-4</v>
      </c>
      <c r="S23">
        <v>1.1014285714285714E-4</v>
      </c>
    </row>
    <row r="24" spans="2:19" x14ac:dyDescent="0.15">
      <c r="B24">
        <v>200</v>
      </c>
      <c r="C24">
        <f t="shared" si="1"/>
        <v>141.44271570014146</v>
      </c>
      <c r="D24">
        <v>6.1999999999999921E-5</v>
      </c>
      <c r="E24">
        <v>6.1999999999999921E-5</v>
      </c>
      <c r="F24">
        <v>9.299999999999997E-5</v>
      </c>
      <c r="G24">
        <v>1.0266666666666664E-4</v>
      </c>
      <c r="H24">
        <v>1.0749999999999997E-4</v>
      </c>
      <c r="I24">
        <v>1.0999999999999998E-4</v>
      </c>
      <c r="J24">
        <v>1.1099999999999999E-4</v>
      </c>
      <c r="K24">
        <v>1.1142857142857142E-4</v>
      </c>
      <c r="L24">
        <v>1.1132499999999998E-4</v>
      </c>
      <c r="M24">
        <v>1.1113333333333333E-4</v>
      </c>
      <c r="N24">
        <v>1.1077999999999999E-4</v>
      </c>
      <c r="O24">
        <v>1.103090909090909E-4</v>
      </c>
      <c r="P24">
        <v>1.0983333333333332E-4</v>
      </c>
      <c r="Q24">
        <v>1.0907692307692307E-4</v>
      </c>
      <c r="R24">
        <v>1.0842857142857143E-4</v>
      </c>
      <c r="S24">
        <v>1.0842857142857143E-4</v>
      </c>
    </row>
    <row r="25" spans="2:19" x14ac:dyDescent="0.15">
      <c r="B25">
        <v>250</v>
      </c>
      <c r="C25">
        <f t="shared" si="1"/>
        <v>176.80339462517682</v>
      </c>
      <c r="D25">
        <v>5.1999999999999956E-5</v>
      </c>
      <c r="E25">
        <v>5.1999999999999956E-5</v>
      </c>
      <c r="F25">
        <v>8.3999999999999982E-5</v>
      </c>
      <c r="G25">
        <v>9.4666666666666632E-5</v>
      </c>
      <c r="H25">
        <v>9.9999999999999991E-5</v>
      </c>
      <c r="I25">
        <v>1.0319999999999999E-4</v>
      </c>
      <c r="J25">
        <v>1.0499999999999999E-4</v>
      </c>
      <c r="K25">
        <v>1.0628571428571428E-4</v>
      </c>
      <c r="L25">
        <v>1.0699999999999997E-4</v>
      </c>
      <c r="M25">
        <v>1.0715555555555555E-4</v>
      </c>
      <c r="N25">
        <v>1.0899599999999998E-4</v>
      </c>
      <c r="O25">
        <v>1.0709090909090907E-4</v>
      </c>
      <c r="P25">
        <v>1.0683333333333333E-4</v>
      </c>
      <c r="Q25">
        <v>1.0646153846153847E-4</v>
      </c>
      <c r="R25">
        <v>1.06E-4</v>
      </c>
      <c r="S25">
        <v>1.06E-4</v>
      </c>
    </row>
    <row r="26" spans="2:19" x14ac:dyDescent="0.15">
      <c r="B26">
        <v>300</v>
      </c>
      <c r="C26">
        <f t="shared" si="1"/>
        <v>212.16407355021218</v>
      </c>
      <c r="D26">
        <v>5.1999999999999956E-5</v>
      </c>
      <c r="E26">
        <v>5.1999999999999956E-5</v>
      </c>
      <c r="F26">
        <v>8.0999999999999963E-5</v>
      </c>
      <c r="G26">
        <v>9.0666666666666616E-5</v>
      </c>
      <c r="H26">
        <v>9.5499999999999977E-5</v>
      </c>
      <c r="I26">
        <v>9.8399999999999979E-5</v>
      </c>
      <c r="J26">
        <v>1.0033333333333334E-4</v>
      </c>
      <c r="K26">
        <v>1.0171428571428571E-4</v>
      </c>
      <c r="L26">
        <v>1.0274999999999999E-4</v>
      </c>
      <c r="M26">
        <v>1.0326666666666665E-4</v>
      </c>
      <c r="N26">
        <v>1.036E-4</v>
      </c>
      <c r="O26">
        <v>1.0376363636363636E-4</v>
      </c>
      <c r="P26">
        <v>1.0378333333333333E-4</v>
      </c>
      <c r="Q26">
        <v>1.0369230769230768E-4</v>
      </c>
      <c r="R26">
        <v>1.0342857142857141E-4</v>
      </c>
      <c r="S26">
        <v>1.0342857142857141E-4</v>
      </c>
    </row>
    <row r="27" spans="2:19" x14ac:dyDescent="0.15">
      <c r="B27">
        <v>350</v>
      </c>
      <c r="C27">
        <f t="shared" si="1"/>
        <v>247.52475247524754</v>
      </c>
      <c r="D27">
        <v>5.599999999999987E-5</v>
      </c>
      <c r="E27">
        <v>5.599999999999987E-5</v>
      </c>
      <c r="F27">
        <v>8.0999999999999963E-5</v>
      </c>
      <c r="G27">
        <v>8.8666666666666663E-5</v>
      </c>
      <c r="H27">
        <v>9.299999999999997E-5</v>
      </c>
      <c r="I27">
        <v>9.7999999999999997E-5</v>
      </c>
      <c r="J27">
        <v>9.7333333333333318E-5</v>
      </c>
      <c r="K27">
        <v>9.8571428571428565E-5</v>
      </c>
      <c r="L27">
        <v>9.925E-5</v>
      </c>
      <c r="M27">
        <v>9.995555555555554E-5</v>
      </c>
      <c r="N27">
        <v>1.0039999999999999E-4</v>
      </c>
      <c r="O27">
        <v>1.0069090909090908E-4</v>
      </c>
      <c r="P27">
        <v>1.0084999999999998E-4</v>
      </c>
      <c r="Q27">
        <v>1.0092307692307693E-4</v>
      </c>
      <c r="R27">
        <v>1.0085714285714285E-4</v>
      </c>
      <c r="S27">
        <v>1.0085714285714285E-4</v>
      </c>
    </row>
    <row r="28" spans="2:19" x14ac:dyDescent="0.15">
      <c r="B28">
        <v>400</v>
      </c>
      <c r="C28">
        <f t="shared" si="1"/>
        <v>282.88543140028293</v>
      </c>
      <c r="D28">
        <v>5.9999999999999968E-5</v>
      </c>
      <c r="E28">
        <v>5.9999999999999968E-5</v>
      </c>
      <c r="F28">
        <v>8.0999999999999963E-5</v>
      </c>
      <c r="G28">
        <v>8.8000000000000025E-5</v>
      </c>
      <c r="H28">
        <v>9.1500000000000001E-5</v>
      </c>
      <c r="I28">
        <v>9.3599999999999998E-5</v>
      </c>
      <c r="J28">
        <v>9.4999999999999978E-5</v>
      </c>
      <c r="K28">
        <v>9.5714285714285712E-5</v>
      </c>
      <c r="L28">
        <v>9.6499999999999987E-5</v>
      </c>
      <c r="M28">
        <v>9.7133333333333327E-5</v>
      </c>
      <c r="N28">
        <v>9.7560000000000008E-5</v>
      </c>
      <c r="O28">
        <v>9.7869090909090905E-5</v>
      </c>
      <c r="P28">
        <v>9.8083333333333337E-5</v>
      </c>
      <c r="Q28">
        <v>9.8153846153846148E-5</v>
      </c>
      <c r="R28">
        <v>9.8285714285714274E-5</v>
      </c>
      <c r="S28">
        <v>9.8285714285714274E-5</v>
      </c>
    </row>
    <row r="29" spans="2:19" x14ac:dyDescent="0.15">
      <c r="B29">
        <v>450</v>
      </c>
      <c r="C29">
        <f t="shared" si="1"/>
        <v>318.24611032531828</v>
      </c>
      <c r="D29">
        <v>6.7999999999999972E-5</v>
      </c>
      <c r="E29">
        <v>6.7999999999999972E-5</v>
      </c>
      <c r="F29">
        <v>8.2999999999999998E-5</v>
      </c>
      <c r="G29">
        <v>8.8666666666666663E-5</v>
      </c>
      <c r="H29">
        <v>9.1000000000000016E-5</v>
      </c>
      <c r="I29">
        <v>9.2399999999999996E-5</v>
      </c>
      <c r="J29">
        <v>9.3333333333333343E-5</v>
      </c>
      <c r="K29">
        <v>9.4000000000000008E-5</v>
      </c>
      <c r="L29">
        <v>9.4500000000000007E-5</v>
      </c>
      <c r="M29">
        <v>9.488888888888889E-5</v>
      </c>
      <c r="N29">
        <v>9.5259999999999993E-5</v>
      </c>
      <c r="O29">
        <v>9.552909090909091E-5</v>
      </c>
      <c r="P29">
        <v>9.5716666666666671E-5</v>
      </c>
      <c r="Q29">
        <v>9.5846153846153865E-5</v>
      </c>
      <c r="R29">
        <v>9.5857142857142864E-5</v>
      </c>
      <c r="S29">
        <v>9.5857142857142864E-5</v>
      </c>
    </row>
    <row r="30" spans="2:19" x14ac:dyDescent="0.15">
      <c r="B30">
        <v>500</v>
      </c>
      <c r="C30">
        <f t="shared" si="1"/>
        <v>353.60678925035364</v>
      </c>
      <c r="D30">
        <v>7.5999999999999977E-5</v>
      </c>
      <c r="E30">
        <v>7.5999999999999977E-5</v>
      </c>
      <c r="F30">
        <v>8.7000000000000014E-5</v>
      </c>
      <c r="G30">
        <v>9.0000000000000006E-5</v>
      </c>
      <c r="H30">
        <v>9.1000000000000016E-5</v>
      </c>
      <c r="I30">
        <v>9.1600000000000017E-5</v>
      </c>
      <c r="J30">
        <v>9.2333333333333346E-5</v>
      </c>
      <c r="K30">
        <v>9.2571428571428582E-5</v>
      </c>
      <c r="L30">
        <v>9.3000000000000011E-5</v>
      </c>
      <c r="M30">
        <v>9.3111111111111126E-5</v>
      </c>
      <c r="N30">
        <v>9.342000000000001E-5</v>
      </c>
      <c r="O30">
        <v>9.3581818181818192E-5</v>
      </c>
      <c r="P30">
        <v>9.3716666666666677E-5</v>
      </c>
      <c r="Q30">
        <v>9.3800000000000017E-5</v>
      </c>
      <c r="R30">
        <v>9.3857142857142856E-5</v>
      </c>
      <c r="S30">
        <v>9.3857142857142856E-5</v>
      </c>
    </row>
    <row r="31" spans="2:19" x14ac:dyDescent="0.15">
      <c r="B31">
        <v>550</v>
      </c>
      <c r="C31">
        <f t="shared" si="1"/>
        <v>388.967468175389</v>
      </c>
      <c r="D31">
        <v>8.7999999999999903E-5</v>
      </c>
      <c r="E31">
        <v>8.7999999999999903E-5</v>
      </c>
      <c r="F31">
        <v>9.0999999999999922E-5</v>
      </c>
      <c r="G31">
        <v>9.1999999999999959E-5</v>
      </c>
      <c r="H31">
        <v>9.1999999999999959E-5</v>
      </c>
      <c r="I31">
        <v>9.2E-5</v>
      </c>
      <c r="J31">
        <v>9.1666666666666654E-5</v>
      </c>
      <c r="K31">
        <v>9.1714285714285696E-5</v>
      </c>
      <c r="L31">
        <v>9.1749999999999994E-5</v>
      </c>
      <c r="M31">
        <v>9.1777777777777783E-5</v>
      </c>
      <c r="N31">
        <v>9.1920000000000001E-5</v>
      </c>
      <c r="O31">
        <v>9.1981818181818167E-5</v>
      </c>
      <c r="P31">
        <v>9.2016666666666676E-5</v>
      </c>
      <c r="Q31">
        <v>9.204615384615384E-5</v>
      </c>
      <c r="R31">
        <v>9.2E-5</v>
      </c>
      <c r="S31">
        <v>9.2E-5</v>
      </c>
    </row>
    <row r="32" spans="2:19" x14ac:dyDescent="0.15">
      <c r="B32">
        <v>600</v>
      </c>
      <c r="C32">
        <f t="shared" si="1"/>
        <v>424.32814710042436</v>
      </c>
      <c r="D32">
        <v>1E-4</v>
      </c>
      <c r="E32">
        <v>1E-4</v>
      </c>
      <c r="F32">
        <v>9.5000000000000019E-5</v>
      </c>
      <c r="G32">
        <v>9.3999999999999981E-5</v>
      </c>
      <c r="H32">
        <v>9.2999999999999997E-5</v>
      </c>
      <c r="I32">
        <v>9.2399999999999983E-5</v>
      </c>
      <c r="J32">
        <v>9.1666666666666668E-5</v>
      </c>
      <c r="K32">
        <v>9.1428571428571419E-5</v>
      </c>
      <c r="L32">
        <v>9.0999999999999989E-5</v>
      </c>
      <c r="M32">
        <v>9.0888888888888888E-5</v>
      </c>
      <c r="N32">
        <v>9.0699999999999996E-5</v>
      </c>
      <c r="O32">
        <v>9.0618181818181813E-5</v>
      </c>
      <c r="P32">
        <v>9.0566666666666682E-5</v>
      </c>
      <c r="Q32">
        <v>9.05076923076923E-5</v>
      </c>
      <c r="R32">
        <v>9.0428571428571421E-5</v>
      </c>
      <c r="S32">
        <v>9.0428571428571421E-5</v>
      </c>
    </row>
    <row r="33" spans="2:19" x14ac:dyDescent="0.15">
      <c r="B33">
        <v>650</v>
      </c>
      <c r="C33">
        <f t="shared" si="1"/>
        <v>459.68882602545972</v>
      </c>
      <c r="D33">
        <v>1.1199999999999993E-4</v>
      </c>
      <c r="E33">
        <v>1.1199999999999993E-4</v>
      </c>
      <c r="F33">
        <v>1.0099999999999997E-4</v>
      </c>
      <c r="G33">
        <v>9.6666666666666667E-5</v>
      </c>
      <c r="H33">
        <v>9.4500000000000007E-5</v>
      </c>
      <c r="I33">
        <v>9.3200000000000002E-5</v>
      </c>
      <c r="J33">
        <v>9.2000000000000014E-5</v>
      </c>
      <c r="K33">
        <v>9.1142857142857141E-5</v>
      </c>
      <c r="L33">
        <v>9.0500000000000004E-5</v>
      </c>
      <c r="M33">
        <v>8.9999999999999992E-5</v>
      </c>
      <c r="N33">
        <v>8.9739999999999991E-5</v>
      </c>
      <c r="O33">
        <v>8.9472727272727271E-5</v>
      </c>
      <c r="P33">
        <v>8.9318333333333335E-5</v>
      </c>
      <c r="Q33">
        <v>8.9169230769230778E-5</v>
      </c>
      <c r="R33">
        <v>8.9042857142857131E-5</v>
      </c>
      <c r="S33">
        <v>8.9042857142857131E-5</v>
      </c>
    </row>
    <row r="34" spans="2:19" x14ac:dyDescent="0.15">
      <c r="B34">
        <v>700</v>
      </c>
      <c r="C34">
        <f t="shared" si="1"/>
        <v>495.04950495049508</v>
      </c>
      <c r="D34">
        <v>1.2599999999999997E-4</v>
      </c>
      <c r="E34">
        <v>1.2599999999999997E-4</v>
      </c>
      <c r="F34">
        <v>1.0600000000000006E-4</v>
      </c>
      <c r="G34">
        <v>1.0000000000000003E-4</v>
      </c>
      <c r="H34">
        <v>9.6500000000000001E-5</v>
      </c>
      <c r="I34">
        <v>9.4000000000000008E-5</v>
      </c>
      <c r="J34">
        <v>9.2333333333333346E-5</v>
      </c>
      <c r="K34">
        <v>9.1142857142857155E-5</v>
      </c>
      <c r="L34">
        <v>9.0249999999999998E-5</v>
      </c>
      <c r="M34">
        <v>8.9555555555555572E-5</v>
      </c>
      <c r="N34">
        <v>8.8979999999999992E-5</v>
      </c>
      <c r="O34">
        <v>8.8581818181818165E-5</v>
      </c>
      <c r="P34">
        <v>8.8270000000000021E-5</v>
      </c>
      <c r="Q34">
        <v>8.8015384615384616E-5</v>
      </c>
      <c r="R34">
        <v>8.7799999999999993E-5</v>
      </c>
      <c r="S34">
        <v>8.7799999999999993E-5</v>
      </c>
    </row>
    <row r="35" spans="2:19" x14ac:dyDescent="0.15">
      <c r="B35">
        <v>750</v>
      </c>
      <c r="C35">
        <f t="shared" si="1"/>
        <v>530.41018387553049</v>
      </c>
      <c r="D35">
        <v>1.2599999999999997E-4</v>
      </c>
      <c r="E35">
        <v>1.2599999999999997E-4</v>
      </c>
      <c r="F35">
        <v>1.0600000000000006E-4</v>
      </c>
      <c r="G35">
        <v>1.0000000000000003E-4</v>
      </c>
      <c r="H35">
        <v>9.6500000000000001E-5</v>
      </c>
      <c r="I35">
        <v>9.4000000000000008E-5</v>
      </c>
      <c r="J35">
        <v>9.2333333333333346E-5</v>
      </c>
      <c r="K35">
        <v>9.1142857142857155E-5</v>
      </c>
      <c r="L35">
        <v>9.0249999999999998E-5</v>
      </c>
      <c r="M35">
        <v>8.9555555555555572E-5</v>
      </c>
      <c r="N35">
        <v>8.8979999999999992E-5</v>
      </c>
      <c r="O35">
        <v>8.8581818181818165E-5</v>
      </c>
      <c r="P35">
        <v>8.8270000000000021E-5</v>
      </c>
      <c r="Q35">
        <v>8.8015384615384616E-5</v>
      </c>
      <c r="R35">
        <v>8.7799999999999993E-5</v>
      </c>
      <c r="S35">
        <v>8.7799999999999993E-5</v>
      </c>
    </row>
    <row r="37" spans="2:19" x14ac:dyDescent="0.15">
      <c r="D37">
        <v>0</v>
      </c>
      <c r="E37">
        <v>35.360678925035366</v>
      </c>
      <c r="F37">
        <v>70.721357850070731</v>
      </c>
      <c r="G37">
        <v>106.08203677510609</v>
      </c>
      <c r="H37">
        <v>141.44271570014146</v>
      </c>
      <c r="I37">
        <v>176.80339462517682</v>
      </c>
      <c r="J37">
        <v>212.16407355021218</v>
      </c>
      <c r="K37">
        <v>247.52475247524754</v>
      </c>
      <c r="L37">
        <v>282.88543140028293</v>
      </c>
      <c r="M37">
        <v>318.24611032531828</v>
      </c>
      <c r="N37">
        <v>353.60678925035364</v>
      </c>
      <c r="O37">
        <v>388.967468175389</v>
      </c>
      <c r="P37">
        <v>424.32814710042436</v>
      </c>
      <c r="Q37">
        <v>459.68882602545972</v>
      </c>
      <c r="R37">
        <v>495.04950495049508</v>
      </c>
      <c r="S37">
        <v>530.41018387553049</v>
      </c>
    </row>
    <row r="38" spans="2:19" x14ac:dyDescent="0.15">
      <c r="C38">
        <v>-530.41018387553049</v>
      </c>
      <c r="D38">
        <f>D5/0.000148</f>
        <v>1.0000000000000004</v>
      </c>
      <c r="E38">
        <f t="shared" ref="E38:S38" si="3">E5/0.000148</f>
        <v>1.0000000000000004</v>
      </c>
      <c r="F38">
        <f t="shared" si="3"/>
        <v>0.79729729729729726</v>
      </c>
      <c r="G38">
        <f t="shared" si="3"/>
        <v>0.7297297297297296</v>
      </c>
      <c r="H38">
        <f t="shared" si="3"/>
        <v>0.69256756756756754</v>
      </c>
      <c r="I38">
        <f t="shared" si="3"/>
        <v>0.66756756756756741</v>
      </c>
      <c r="J38">
        <f t="shared" si="3"/>
        <v>0.65315315315315314</v>
      </c>
      <c r="K38">
        <f t="shared" si="3"/>
        <v>0.64092664092664098</v>
      </c>
      <c r="L38">
        <f t="shared" si="3"/>
        <v>0.6317567567567568</v>
      </c>
      <c r="M38">
        <f t="shared" si="3"/>
        <v>0.62462462462462454</v>
      </c>
      <c r="N38">
        <f t="shared" si="3"/>
        <v>0.61891891891891893</v>
      </c>
      <c r="O38">
        <f t="shared" si="3"/>
        <v>0.61474201474201473</v>
      </c>
      <c r="P38">
        <f t="shared" si="3"/>
        <v>0.6114864864864864</v>
      </c>
      <c r="Q38">
        <f t="shared" si="3"/>
        <v>0.60873180873180877</v>
      </c>
      <c r="R38">
        <f t="shared" si="3"/>
        <v>0.60617760617760619</v>
      </c>
      <c r="S38">
        <f t="shared" si="3"/>
        <v>0.60617760617760619</v>
      </c>
    </row>
    <row r="39" spans="2:19" x14ac:dyDescent="0.15">
      <c r="C39">
        <v>-495.04950495049508</v>
      </c>
      <c r="D39">
        <f t="shared" ref="D39:S39" si="4">D6/0.000148</f>
        <v>1.0000000000000004</v>
      </c>
      <c r="E39">
        <f t="shared" si="4"/>
        <v>1.0000000000000004</v>
      </c>
      <c r="F39">
        <f t="shared" si="4"/>
        <v>0.79729729729729726</v>
      </c>
      <c r="G39">
        <f t="shared" si="4"/>
        <v>0.7297297297297296</v>
      </c>
      <c r="H39">
        <f t="shared" si="4"/>
        <v>0.69256756756756754</v>
      </c>
      <c r="I39">
        <f t="shared" si="4"/>
        <v>0.66756756756756741</v>
      </c>
      <c r="J39">
        <f t="shared" si="4"/>
        <v>0.65315315315315314</v>
      </c>
      <c r="K39">
        <f t="shared" si="4"/>
        <v>0.64092664092664098</v>
      </c>
      <c r="L39">
        <f t="shared" si="4"/>
        <v>0.6317567567567568</v>
      </c>
      <c r="M39">
        <f t="shared" si="4"/>
        <v>0.62462462462462454</v>
      </c>
      <c r="N39">
        <f t="shared" si="4"/>
        <v>0.61891891891891893</v>
      </c>
      <c r="O39">
        <f t="shared" si="4"/>
        <v>0.61474201474201473</v>
      </c>
      <c r="P39">
        <f t="shared" si="4"/>
        <v>0.6114864864864864</v>
      </c>
      <c r="Q39">
        <f t="shared" si="4"/>
        <v>0.60873180873180877</v>
      </c>
      <c r="R39">
        <f t="shared" si="4"/>
        <v>0.60617760617760619</v>
      </c>
      <c r="S39">
        <f t="shared" si="4"/>
        <v>0.60617760617760619</v>
      </c>
    </row>
    <row r="40" spans="2:19" x14ac:dyDescent="0.15">
      <c r="C40">
        <v>-459.68882602545972</v>
      </c>
      <c r="D40">
        <f t="shared" ref="D40:S40" si="5">D7/0.000148</f>
        <v>0.90540540540540526</v>
      </c>
      <c r="E40">
        <f t="shared" si="5"/>
        <v>0.90540540540540526</v>
      </c>
      <c r="F40">
        <f t="shared" si="5"/>
        <v>0.75675675675675635</v>
      </c>
      <c r="G40">
        <f t="shared" si="5"/>
        <v>0.70270270270270263</v>
      </c>
      <c r="H40">
        <f t="shared" si="5"/>
        <v>0.67567567567567566</v>
      </c>
      <c r="I40">
        <f t="shared" si="5"/>
        <v>0.65945945945945927</v>
      </c>
      <c r="J40">
        <f t="shared" si="5"/>
        <v>0.64864864864864846</v>
      </c>
      <c r="K40">
        <f t="shared" si="5"/>
        <v>0.63899613899613894</v>
      </c>
      <c r="L40">
        <f t="shared" si="5"/>
        <v>0.6317567567567568</v>
      </c>
      <c r="M40">
        <f t="shared" si="5"/>
        <v>0.62612612612612617</v>
      </c>
      <c r="N40">
        <f t="shared" si="5"/>
        <v>0.62297297297297294</v>
      </c>
      <c r="O40">
        <f t="shared" si="5"/>
        <v>0.62002457002457001</v>
      </c>
      <c r="P40">
        <f t="shared" si="5"/>
        <v>0.61768018018018023</v>
      </c>
      <c r="Q40">
        <f t="shared" si="5"/>
        <v>0.61580041580041578</v>
      </c>
      <c r="R40">
        <f t="shared" si="5"/>
        <v>0.61389961389961389</v>
      </c>
      <c r="S40">
        <f t="shared" si="5"/>
        <v>0.61389961389961389</v>
      </c>
    </row>
    <row r="41" spans="2:19" x14ac:dyDescent="0.15">
      <c r="C41">
        <v>-424.32814710042436</v>
      </c>
      <c r="D41">
        <f t="shared" ref="D41:S41" si="6">D8/0.000148</f>
        <v>0.81081081081081163</v>
      </c>
      <c r="E41">
        <f t="shared" si="6"/>
        <v>0.81081081081081163</v>
      </c>
      <c r="F41">
        <f t="shared" si="6"/>
        <v>0.71621621621621667</v>
      </c>
      <c r="G41">
        <f t="shared" si="6"/>
        <v>0.68018018018018034</v>
      </c>
      <c r="H41">
        <f t="shared" si="6"/>
        <v>0.66554054054054068</v>
      </c>
      <c r="I41">
        <f t="shared" si="6"/>
        <v>0.65135135135135147</v>
      </c>
      <c r="J41">
        <f t="shared" si="6"/>
        <v>0.64414414414414434</v>
      </c>
      <c r="K41">
        <f t="shared" si="6"/>
        <v>0.63899613899613916</v>
      </c>
      <c r="L41">
        <f t="shared" si="6"/>
        <v>0.63344594594594594</v>
      </c>
      <c r="M41">
        <f t="shared" si="6"/>
        <v>0.63063063063063074</v>
      </c>
      <c r="N41">
        <f t="shared" si="6"/>
        <v>0.62837837837837851</v>
      </c>
      <c r="O41">
        <f t="shared" si="6"/>
        <v>0.62665847665847663</v>
      </c>
      <c r="P41">
        <f t="shared" si="6"/>
        <v>0.62533783783783792</v>
      </c>
      <c r="Q41">
        <f t="shared" si="6"/>
        <v>0.62422037422037435</v>
      </c>
      <c r="R41">
        <f t="shared" si="6"/>
        <v>0.62258687258687273</v>
      </c>
      <c r="S41">
        <f t="shared" si="6"/>
        <v>0.62258687258687273</v>
      </c>
    </row>
    <row r="42" spans="2:19" x14ac:dyDescent="0.15">
      <c r="C42">
        <v>-388.967468175389</v>
      </c>
      <c r="D42">
        <f t="shared" ref="D42:S42" si="7">D9/0.000148</f>
        <v>0.72972972972972983</v>
      </c>
      <c r="E42">
        <f t="shared" si="7"/>
        <v>0.72972972972972983</v>
      </c>
      <c r="F42">
        <f t="shared" si="7"/>
        <v>0.68243243243243235</v>
      </c>
      <c r="G42">
        <f t="shared" si="7"/>
        <v>0.66666666666666663</v>
      </c>
      <c r="H42">
        <f t="shared" si="7"/>
        <v>0.65540540540540548</v>
      </c>
      <c r="I42">
        <f t="shared" si="7"/>
        <v>0.65135135135135136</v>
      </c>
      <c r="J42">
        <f t="shared" si="7"/>
        <v>0.64639639639639634</v>
      </c>
      <c r="K42">
        <f t="shared" si="7"/>
        <v>0.64092664092664098</v>
      </c>
      <c r="L42">
        <f t="shared" si="7"/>
        <v>0.64020270270270285</v>
      </c>
      <c r="M42">
        <f t="shared" si="7"/>
        <v>0.63813813813813813</v>
      </c>
      <c r="N42">
        <f t="shared" si="7"/>
        <v>0.63702702702702696</v>
      </c>
      <c r="O42">
        <f t="shared" si="7"/>
        <v>0.63624078624078628</v>
      </c>
      <c r="P42">
        <f t="shared" si="7"/>
        <v>0.63558558558558564</v>
      </c>
      <c r="Q42">
        <f t="shared" si="7"/>
        <v>0.63492723492723502</v>
      </c>
      <c r="R42">
        <f t="shared" si="7"/>
        <v>0.63416988416988418</v>
      </c>
      <c r="S42">
        <f t="shared" si="7"/>
        <v>0.63416988416988418</v>
      </c>
    </row>
    <row r="43" spans="2:19" x14ac:dyDescent="0.15">
      <c r="C43">
        <v>-353.60678925035364</v>
      </c>
      <c r="D43">
        <f t="shared" ref="D43:S43" si="8">D10/0.000148</f>
        <v>0.63513513513513487</v>
      </c>
      <c r="E43">
        <f t="shared" si="8"/>
        <v>0.63513513513513487</v>
      </c>
      <c r="F43">
        <f t="shared" si="8"/>
        <v>0.64864864864864857</v>
      </c>
      <c r="G43">
        <f t="shared" si="8"/>
        <v>0.64864864864864846</v>
      </c>
      <c r="H43">
        <f t="shared" si="8"/>
        <v>0.64864864864864846</v>
      </c>
      <c r="I43">
        <f t="shared" si="8"/>
        <v>0.64864864864864846</v>
      </c>
      <c r="J43">
        <f t="shared" si="8"/>
        <v>0.64639639639639634</v>
      </c>
      <c r="K43">
        <f t="shared" si="8"/>
        <v>0.64671814671814676</v>
      </c>
      <c r="L43">
        <f t="shared" si="8"/>
        <v>0.64527027027027017</v>
      </c>
      <c r="M43">
        <f t="shared" si="8"/>
        <v>0.64564564564564564</v>
      </c>
      <c r="N43">
        <f t="shared" si="8"/>
        <v>0.64621621621621628</v>
      </c>
      <c r="O43">
        <f t="shared" si="8"/>
        <v>0.64631449631449622</v>
      </c>
      <c r="P43">
        <f t="shared" si="8"/>
        <v>0.64628378378378382</v>
      </c>
      <c r="Q43">
        <f t="shared" si="8"/>
        <v>0.64615384615384619</v>
      </c>
      <c r="R43">
        <f t="shared" si="8"/>
        <v>0.64575289575289574</v>
      </c>
      <c r="S43">
        <f t="shared" si="8"/>
        <v>0.64575289575289574</v>
      </c>
    </row>
    <row r="44" spans="2:19" x14ac:dyDescent="0.15">
      <c r="C44">
        <v>-318.24611032531828</v>
      </c>
      <c r="D44">
        <f t="shared" ref="D44:S44" si="9">D11/0.000148</f>
        <v>0.56756756756756743</v>
      </c>
      <c r="E44">
        <f t="shared" si="9"/>
        <v>0.56756756756756743</v>
      </c>
      <c r="F44">
        <f t="shared" si="9"/>
        <v>0.6216216216216216</v>
      </c>
      <c r="G44">
        <f t="shared" si="9"/>
        <v>0.63963963963963977</v>
      </c>
      <c r="H44">
        <f t="shared" si="9"/>
        <v>0.6452702702702704</v>
      </c>
      <c r="I44">
        <f t="shared" si="9"/>
        <v>0.64864864864864868</v>
      </c>
      <c r="J44">
        <f t="shared" si="9"/>
        <v>0.65090090090090091</v>
      </c>
      <c r="K44">
        <f t="shared" si="9"/>
        <v>0.65250965250965265</v>
      </c>
      <c r="L44">
        <f t="shared" si="9"/>
        <v>0.65540540540540548</v>
      </c>
      <c r="M44">
        <f t="shared" si="9"/>
        <v>0.65660660660660664</v>
      </c>
      <c r="N44">
        <f t="shared" si="9"/>
        <v>0.65783783783783789</v>
      </c>
      <c r="O44">
        <f t="shared" si="9"/>
        <v>0.65856265356265364</v>
      </c>
      <c r="P44">
        <f t="shared" si="9"/>
        <v>0.65900900900900905</v>
      </c>
      <c r="Q44">
        <f t="shared" si="9"/>
        <v>0.65904365904365902</v>
      </c>
      <c r="R44">
        <f t="shared" si="9"/>
        <v>0.65926640926640923</v>
      </c>
      <c r="S44">
        <f t="shared" si="9"/>
        <v>0.65926640926640923</v>
      </c>
    </row>
    <row r="45" spans="2:19" x14ac:dyDescent="0.15">
      <c r="C45">
        <v>-282.88543140028293</v>
      </c>
      <c r="D45">
        <f t="shared" ref="D45:S45" si="10">D12/0.000148</f>
        <v>0.51351351351351338</v>
      </c>
      <c r="E45">
        <f t="shared" si="10"/>
        <v>0.51351351351351338</v>
      </c>
      <c r="F45">
        <f t="shared" si="10"/>
        <v>0.6013513513513512</v>
      </c>
      <c r="G45">
        <f t="shared" si="10"/>
        <v>0.63063063063063063</v>
      </c>
      <c r="H45">
        <f t="shared" si="10"/>
        <v>0.6452702702702704</v>
      </c>
      <c r="I45">
        <f t="shared" si="10"/>
        <v>0.65405405405405403</v>
      </c>
      <c r="J45">
        <f t="shared" si="10"/>
        <v>0.65990990990990994</v>
      </c>
      <c r="K45">
        <f t="shared" si="10"/>
        <v>0.66409266409266421</v>
      </c>
      <c r="L45">
        <f t="shared" si="10"/>
        <v>0.66554054054054068</v>
      </c>
      <c r="M45">
        <f t="shared" si="10"/>
        <v>0.67042042042042038</v>
      </c>
      <c r="N45">
        <f t="shared" si="10"/>
        <v>0.67229729729729726</v>
      </c>
      <c r="O45">
        <f t="shared" si="10"/>
        <v>0.67346437346437349</v>
      </c>
      <c r="P45">
        <f t="shared" si="10"/>
        <v>0.67409909909909904</v>
      </c>
      <c r="Q45">
        <f t="shared" si="10"/>
        <v>0.67463617463617476</v>
      </c>
      <c r="R45">
        <f t="shared" si="10"/>
        <v>0.67374517374517373</v>
      </c>
      <c r="S45">
        <f t="shared" si="10"/>
        <v>0.67374517374517373</v>
      </c>
    </row>
    <row r="46" spans="2:19" x14ac:dyDescent="0.15">
      <c r="C46">
        <v>-247.52475247524754</v>
      </c>
      <c r="D46">
        <f t="shared" ref="D46:S46" si="11">D13/0.000148</f>
        <v>0.45945945945945932</v>
      </c>
      <c r="E46">
        <f t="shared" si="11"/>
        <v>0.45945945945945932</v>
      </c>
      <c r="F46">
        <f t="shared" si="11"/>
        <v>0.58783783783783794</v>
      </c>
      <c r="G46">
        <f t="shared" si="11"/>
        <v>0.63063063063063063</v>
      </c>
      <c r="H46">
        <f t="shared" si="11"/>
        <v>0.65202702702702708</v>
      </c>
      <c r="I46">
        <f t="shared" si="11"/>
        <v>0.66486486486486485</v>
      </c>
      <c r="J46">
        <f t="shared" si="11"/>
        <v>0.67342342342342354</v>
      </c>
      <c r="K46">
        <f t="shared" si="11"/>
        <v>0.67953667953667951</v>
      </c>
      <c r="L46">
        <f t="shared" si="11"/>
        <v>0.68412162162162171</v>
      </c>
      <c r="M46">
        <f t="shared" si="11"/>
        <v>0.68678678678678684</v>
      </c>
      <c r="N46">
        <f t="shared" si="11"/>
        <v>0.68891891891891899</v>
      </c>
      <c r="O46">
        <f t="shared" si="11"/>
        <v>0.69017199017199027</v>
      </c>
      <c r="P46">
        <f t="shared" si="11"/>
        <v>0.69065315315315323</v>
      </c>
      <c r="Q46">
        <f t="shared" si="11"/>
        <v>0.69022869022869038</v>
      </c>
      <c r="R46">
        <f t="shared" si="11"/>
        <v>0.68918918918918926</v>
      </c>
      <c r="S46">
        <f t="shared" si="11"/>
        <v>0.68918918918918926</v>
      </c>
    </row>
    <row r="47" spans="2:19" x14ac:dyDescent="0.15">
      <c r="C47">
        <v>-212.16407355021218</v>
      </c>
      <c r="D47">
        <f t="shared" ref="D47:S47" si="12">D14/0.000148</f>
        <v>0.43243243243243279</v>
      </c>
      <c r="E47">
        <f t="shared" si="12"/>
        <v>0.43243243243243279</v>
      </c>
      <c r="F47">
        <f t="shared" si="12"/>
        <v>0.58783783783783794</v>
      </c>
      <c r="G47">
        <f t="shared" si="12"/>
        <v>0.63963963963963977</v>
      </c>
      <c r="H47">
        <f t="shared" si="12"/>
        <v>0.66891891891891886</v>
      </c>
      <c r="I47">
        <f t="shared" si="12"/>
        <v>0.68378378378378379</v>
      </c>
      <c r="J47">
        <f t="shared" si="12"/>
        <v>0.69594594594594594</v>
      </c>
      <c r="K47">
        <f t="shared" si="12"/>
        <v>0.70270270270270274</v>
      </c>
      <c r="L47">
        <f t="shared" si="12"/>
        <v>0.70608108108108103</v>
      </c>
      <c r="M47">
        <f t="shared" si="12"/>
        <v>0.70915915915915917</v>
      </c>
      <c r="N47">
        <f t="shared" si="12"/>
        <v>0.71051351351351355</v>
      </c>
      <c r="O47">
        <f t="shared" si="12"/>
        <v>0.71302211302211305</v>
      </c>
      <c r="P47">
        <f t="shared" si="12"/>
        <v>0.71024774774774768</v>
      </c>
      <c r="Q47">
        <f t="shared" si="12"/>
        <v>0.70893970893970903</v>
      </c>
      <c r="R47">
        <f t="shared" si="12"/>
        <v>0.70752895752895761</v>
      </c>
      <c r="S47">
        <f t="shared" si="12"/>
        <v>0.70752895752895761</v>
      </c>
    </row>
    <row r="48" spans="2:19" x14ac:dyDescent="0.15">
      <c r="C48">
        <v>-176.80339462517682</v>
      </c>
      <c r="D48">
        <f t="shared" ref="D48:S48" si="13">D15/0.000148</f>
        <v>0.43243243243243279</v>
      </c>
      <c r="E48">
        <f t="shared" si="13"/>
        <v>0.43243243243243279</v>
      </c>
      <c r="F48">
        <f t="shared" si="13"/>
        <v>0.60810810810810767</v>
      </c>
      <c r="G48">
        <f t="shared" si="13"/>
        <v>0.66666666666666663</v>
      </c>
      <c r="H48">
        <f t="shared" si="13"/>
        <v>0.69594594594594594</v>
      </c>
      <c r="I48">
        <f t="shared" si="13"/>
        <v>0.71351351351351344</v>
      </c>
      <c r="J48">
        <f t="shared" si="13"/>
        <v>0.72522522522522526</v>
      </c>
      <c r="K48">
        <f t="shared" si="13"/>
        <v>0.7297297297297296</v>
      </c>
      <c r="L48">
        <f t="shared" si="13"/>
        <v>0.73310810810810823</v>
      </c>
      <c r="M48">
        <f t="shared" si="13"/>
        <v>0.73348348348348358</v>
      </c>
      <c r="N48">
        <f t="shared" si="13"/>
        <v>0.73298648648648657</v>
      </c>
      <c r="O48">
        <f t="shared" si="13"/>
        <v>0.73157248157248156</v>
      </c>
      <c r="P48">
        <f t="shared" si="13"/>
        <v>0.7297297297297296</v>
      </c>
      <c r="Q48">
        <f t="shared" si="13"/>
        <v>0.72661122661122668</v>
      </c>
      <c r="R48">
        <f t="shared" si="13"/>
        <v>0.72297297297297303</v>
      </c>
      <c r="S48">
        <f t="shared" si="13"/>
        <v>0.72297297297297303</v>
      </c>
    </row>
    <row r="49" spans="3:19" x14ac:dyDescent="0.15">
      <c r="C49">
        <v>-141.44271570014146</v>
      </c>
      <c r="D49">
        <f t="shared" ref="D49:S49" si="14">D16/0.000148</f>
        <v>0.48648648648648568</v>
      </c>
      <c r="E49">
        <f t="shared" si="14"/>
        <v>0.48648648648648568</v>
      </c>
      <c r="F49">
        <f t="shared" si="14"/>
        <v>0.66216216216216195</v>
      </c>
      <c r="G49">
        <f t="shared" si="14"/>
        <v>0.71621621621621612</v>
      </c>
      <c r="H49">
        <f t="shared" si="14"/>
        <v>0.7432432432432432</v>
      </c>
      <c r="I49">
        <f t="shared" si="14"/>
        <v>0.75405405405405412</v>
      </c>
      <c r="J49">
        <f t="shared" si="14"/>
        <v>0.76126126126126126</v>
      </c>
      <c r="K49">
        <f t="shared" si="14"/>
        <v>0.76061776061776065</v>
      </c>
      <c r="L49">
        <f t="shared" si="14"/>
        <v>0.76030405405405399</v>
      </c>
      <c r="M49">
        <f t="shared" si="14"/>
        <v>0.75810810810810803</v>
      </c>
      <c r="N49">
        <f t="shared" si="14"/>
        <v>0.75513513513513519</v>
      </c>
      <c r="O49">
        <f t="shared" si="14"/>
        <v>0.75147420147420152</v>
      </c>
      <c r="P49">
        <f t="shared" si="14"/>
        <v>0.74774774774774766</v>
      </c>
      <c r="Q49">
        <f t="shared" si="14"/>
        <v>0.74220374220374219</v>
      </c>
      <c r="R49">
        <f t="shared" si="14"/>
        <v>0.73745173745173742</v>
      </c>
      <c r="S49">
        <f t="shared" si="14"/>
        <v>0.73745173745173742</v>
      </c>
    </row>
    <row r="50" spans="3:19" x14ac:dyDescent="0.15">
      <c r="C50">
        <v>-106.08203677510609</v>
      </c>
      <c r="D50">
        <f t="shared" ref="D50:S50" si="15">D17/0.000148</f>
        <v>0.59459459459459518</v>
      </c>
      <c r="E50">
        <f t="shared" si="15"/>
        <v>0.59459459459459518</v>
      </c>
      <c r="F50">
        <f t="shared" si="15"/>
        <v>0.7364864864864864</v>
      </c>
      <c r="G50">
        <f t="shared" si="15"/>
        <v>0.77477477477477497</v>
      </c>
      <c r="H50">
        <f t="shared" si="15"/>
        <v>0.78716216216216228</v>
      </c>
      <c r="I50">
        <f t="shared" si="15"/>
        <v>0.78918918918918923</v>
      </c>
      <c r="J50">
        <f t="shared" si="15"/>
        <v>0.78828828828828834</v>
      </c>
      <c r="K50">
        <f t="shared" si="15"/>
        <v>0.78571428571428581</v>
      </c>
      <c r="L50">
        <f t="shared" si="15"/>
        <v>0.78175675675675682</v>
      </c>
      <c r="M50">
        <f t="shared" si="15"/>
        <v>0.7770270270270272</v>
      </c>
      <c r="N50">
        <f t="shared" si="15"/>
        <v>0.771891891891892</v>
      </c>
      <c r="O50">
        <f t="shared" si="15"/>
        <v>0.7660933660933662</v>
      </c>
      <c r="P50">
        <f t="shared" si="15"/>
        <v>0.7601351351351352</v>
      </c>
      <c r="Q50">
        <f t="shared" si="15"/>
        <v>0.75363825363825365</v>
      </c>
      <c r="R50">
        <f t="shared" si="15"/>
        <v>0.74710424710424717</v>
      </c>
      <c r="S50">
        <f t="shared" si="15"/>
        <v>0.74710424710424717</v>
      </c>
    </row>
    <row r="51" spans="3:19" x14ac:dyDescent="0.15">
      <c r="C51">
        <v>-70.721357850070731</v>
      </c>
      <c r="D51">
        <f t="shared" ref="D51:S51" si="16">D18/0.000148</f>
        <v>0.72972972972972983</v>
      </c>
      <c r="E51">
        <f t="shared" si="16"/>
        <v>0.72972972972972983</v>
      </c>
      <c r="F51">
        <f t="shared" si="16"/>
        <v>0.80405405405405372</v>
      </c>
      <c r="G51">
        <f t="shared" si="16"/>
        <v>0.81981981981981955</v>
      </c>
      <c r="H51">
        <f t="shared" si="16"/>
        <v>0.82094594594594594</v>
      </c>
      <c r="I51">
        <f t="shared" si="16"/>
        <v>0.81891891891891888</v>
      </c>
      <c r="J51">
        <f t="shared" si="16"/>
        <v>0.81306306306306297</v>
      </c>
      <c r="K51">
        <f t="shared" si="16"/>
        <v>0.80694980694980689</v>
      </c>
      <c r="L51">
        <f t="shared" si="16"/>
        <v>0.8</v>
      </c>
      <c r="M51">
        <f t="shared" si="16"/>
        <v>0.7927477477477477</v>
      </c>
      <c r="N51">
        <f t="shared" si="16"/>
        <v>0.78527027027027041</v>
      </c>
      <c r="O51">
        <f t="shared" si="16"/>
        <v>0.77764127764127777</v>
      </c>
      <c r="P51">
        <f t="shared" si="16"/>
        <v>0.7702702702702704</v>
      </c>
      <c r="Q51">
        <f t="shared" si="16"/>
        <v>0.76195426195426197</v>
      </c>
      <c r="R51">
        <f t="shared" si="16"/>
        <v>0.75482625482625476</v>
      </c>
      <c r="S51">
        <f t="shared" si="16"/>
        <v>0.75482625482625476</v>
      </c>
    </row>
    <row r="52" spans="3:19" x14ac:dyDescent="0.15">
      <c r="C52">
        <v>-35.360678925035366</v>
      </c>
      <c r="D52">
        <f t="shared" ref="D52:S52" si="17">D19/0.000148</f>
        <v>0.79729729729729726</v>
      </c>
      <c r="E52">
        <f t="shared" si="17"/>
        <v>0.79729729729729726</v>
      </c>
      <c r="F52">
        <f t="shared" si="17"/>
        <v>0.83783783783783794</v>
      </c>
      <c r="G52">
        <f t="shared" si="17"/>
        <v>0.84234234234234218</v>
      </c>
      <c r="H52">
        <f t="shared" si="17"/>
        <v>0.84121621621621623</v>
      </c>
      <c r="I52">
        <f t="shared" si="17"/>
        <v>0.83513513513513515</v>
      </c>
      <c r="J52">
        <f t="shared" si="17"/>
        <v>0.82657657657657668</v>
      </c>
      <c r="K52">
        <f t="shared" si="17"/>
        <v>0.82046332046332049</v>
      </c>
      <c r="L52">
        <f t="shared" si="17"/>
        <v>0.81097972972972976</v>
      </c>
      <c r="M52">
        <f t="shared" si="17"/>
        <v>0.802012012012012</v>
      </c>
      <c r="N52">
        <f t="shared" si="17"/>
        <v>0.7928378378378379</v>
      </c>
      <c r="O52">
        <f t="shared" si="17"/>
        <v>0.78378378378378377</v>
      </c>
      <c r="P52">
        <f t="shared" si="17"/>
        <v>0.77477477477477485</v>
      </c>
      <c r="Q52">
        <f t="shared" si="17"/>
        <v>0.76715176715176714</v>
      </c>
      <c r="R52">
        <f t="shared" si="17"/>
        <v>0.75868725868725861</v>
      </c>
      <c r="S52">
        <f t="shared" si="17"/>
        <v>0.75868725868725861</v>
      </c>
    </row>
    <row r="53" spans="3:19" x14ac:dyDescent="0.15">
      <c r="C53">
        <v>0</v>
      </c>
      <c r="D53">
        <f t="shared" ref="D53:S53" si="18">D20/0.000148</f>
        <v>0.79054054054054057</v>
      </c>
      <c r="E53">
        <f t="shared" si="18"/>
        <v>0.79054054054054057</v>
      </c>
      <c r="F53">
        <f t="shared" si="18"/>
        <v>0.83445945945945932</v>
      </c>
      <c r="G53">
        <f t="shared" si="18"/>
        <v>0.84009009009009017</v>
      </c>
      <c r="H53">
        <f t="shared" si="18"/>
        <v>0.83783783783783772</v>
      </c>
      <c r="I53">
        <f t="shared" si="18"/>
        <v>0.83243243243243259</v>
      </c>
      <c r="J53">
        <f t="shared" si="18"/>
        <v>0.82545045045045062</v>
      </c>
      <c r="K53">
        <f t="shared" si="18"/>
        <v>0.81853281853281856</v>
      </c>
      <c r="L53">
        <f t="shared" si="18"/>
        <v>0.80971283783783787</v>
      </c>
      <c r="M53">
        <f t="shared" si="18"/>
        <v>0.80084834834834828</v>
      </c>
      <c r="N53">
        <f t="shared" si="18"/>
        <v>0.79175675675675683</v>
      </c>
      <c r="O53">
        <f t="shared" si="18"/>
        <v>0.78255528255528251</v>
      </c>
      <c r="P53">
        <f t="shared" si="18"/>
        <v>0.77421171171171188</v>
      </c>
      <c r="Q53">
        <f t="shared" si="18"/>
        <v>0.76611226611226613</v>
      </c>
      <c r="R53">
        <f t="shared" si="18"/>
        <v>0.75772200772200771</v>
      </c>
      <c r="S53">
        <f t="shared" si="18"/>
        <v>0.75772200772200771</v>
      </c>
    </row>
    <row r="54" spans="3:19" x14ac:dyDescent="0.15">
      <c r="C54">
        <v>35.360678925035366</v>
      </c>
      <c r="D54">
        <f t="shared" ref="D54:S54" si="19">D21/0.000148</f>
        <v>0.78378378378378388</v>
      </c>
      <c r="E54">
        <f t="shared" si="19"/>
        <v>0.78378378378378388</v>
      </c>
      <c r="F54">
        <f t="shared" si="19"/>
        <v>0.83108108108108081</v>
      </c>
      <c r="G54">
        <f t="shared" si="19"/>
        <v>0.83783783783783794</v>
      </c>
      <c r="H54">
        <f t="shared" si="19"/>
        <v>0.83445945945945943</v>
      </c>
      <c r="I54">
        <f t="shared" si="19"/>
        <v>0.8297297297297298</v>
      </c>
      <c r="J54">
        <f t="shared" si="19"/>
        <v>0.82432432432432445</v>
      </c>
      <c r="K54">
        <f t="shared" si="19"/>
        <v>0.81660231660231664</v>
      </c>
      <c r="L54">
        <f t="shared" si="19"/>
        <v>0.80844594594594588</v>
      </c>
      <c r="M54">
        <f t="shared" si="19"/>
        <v>0.79968468468468468</v>
      </c>
      <c r="N54">
        <f t="shared" si="19"/>
        <v>0.79067567567567576</v>
      </c>
      <c r="O54">
        <f t="shared" si="19"/>
        <v>0.78132678132678135</v>
      </c>
      <c r="P54">
        <f t="shared" si="19"/>
        <v>0.77364864864864868</v>
      </c>
      <c r="Q54">
        <f t="shared" si="19"/>
        <v>0.765072765072765</v>
      </c>
      <c r="R54">
        <f t="shared" si="19"/>
        <v>0.7567567567567568</v>
      </c>
      <c r="S54">
        <f t="shared" si="19"/>
        <v>0.7567567567567568</v>
      </c>
    </row>
    <row r="55" spans="3:19" x14ac:dyDescent="0.15">
      <c r="C55">
        <v>70.721357850070731</v>
      </c>
      <c r="D55">
        <f t="shared" ref="D55:S55" si="20">D22/0.000148</f>
        <v>0.68918918918918892</v>
      </c>
      <c r="E55">
        <f t="shared" si="20"/>
        <v>0.68918918918918892</v>
      </c>
      <c r="F55">
        <f t="shared" si="20"/>
        <v>0.78378378378378333</v>
      </c>
      <c r="G55">
        <f t="shared" si="20"/>
        <v>0.80630630630630618</v>
      </c>
      <c r="H55">
        <f t="shared" si="20"/>
        <v>0.81081081081081063</v>
      </c>
      <c r="I55">
        <f t="shared" si="20"/>
        <v>0.81081081081081074</v>
      </c>
      <c r="J55">
        <f t="shared" si="20"/>
        <v>0.80630630630630629</v>
      </c>
      <c r="K55">
        <f t="shared" si="20"/>
        <v>0.80115830115830111</v>
      </c>
      <c r="L55">
        <f t="shared" si="20"/>
        <v>0.7949324324324325</v>
      </c>
      <c r="M55">
        <f t="shared" si="20"/>
        <v>0.78824324324324324</v>
      </c>
      <c r="N55">
        <f t="shared" si="20"/>
        <v>0.78121621621621617</v>
      </c>
      <c r="O55">
        <f t="shared" si="20"/>
        <v>0.77371007371007372</v>
      </c>
      <c r="P55">
        <f t="shared" si="20"/>
        <v>0.76576576576576572</v>
      </c>
      <c r="Q55">
        <f t="shared" si="20"/>
        <v>0.75883575883575882</v>
      </c>
      <c r="R55">
        <f t="shared" si="20"/>
        <v>0.75193050193050182</v>
      </c>
      <c r="S55">
        <f t="shared" si="20"/>
        <v>0.75193050193050182</v>
      </c>
    </row>
    <row r="56" spans="3:19" x14ac:dyDescent="0.15">
      <c r="C56">
        <v>106.08203677510609</v>
      </c>
      <c r="D56">
        <f t="shared" ref="D56:S56" si="21">D23/0.000148</f>
        <v>0.55405405405405428</v>
      </c>
      <c r="E56">
        <f t="shared" si="21"/>
        <v>0.55405405405405428</v>
      </c>
      <c r="F56">
        <f t="shared" si="21"/>
        <v>0.71621621621621667</v>
      </c>
      <c r="G56">
        <f t="shared" si="21"/>
        <v>0.75675675675675691</v>
      </c>
      <c r="H56">
        <f t="shared" si="21"/>
        <v>0.77364864864864868</v>
      </c>
      <c r="I56">
        <f t="shared" si="21"/>
        <v>0.7810810810810811</v>
      </c>
      <c r="J56">
        <f t="shared" si="21"/>
        <v>0.78153153153153154</v>
      </c>
      <c r="K56">
        <f t="shared" si="21"/>
        <v>0.77992277992278003</v>
      </c>
      <c r="L56">
        <f t="shared" si="21"/>
        <v>0.77601351351351355</v>
      </c>
      <c r="M56">
        <f t="shared" si="21"/>
        <v>0.77192192192192188</v>
      </c>
      <c r="N56">
        <f t="shared" si="21"/>
        <v>0.76716216216216215</v>
      </c>
      <c r="O56">
        <f t="shared" si="21"/>
        <v>0.76179361179361194</v>
      </c>
      <c r="P56">
        <f t="shared" si="21"/>
        <v>0.75563063063063063</v>
      </c>
      <c r="Q56">
        <f t="shared" si="21"/>
        <v>0.74948024948024949</v>
      </c>
      <c r="R56">
        <f t="shared" si="21"/>
        <v>0.74420849420849422</v>
      </c>
      <c r="S56">
        <f t="shared" si="21"/>
        <v>0.74420849420849422</v>
      </c>
    </row>
    <row r="57" spans="3:19" x14ac:dyDescent="0.15">
      <c r="C57">
        <v>141.44271570014146</v>
      </c>
      <c r="D57">
        <f t="shared" ref="D57:S57" si="22">D24/0.000148</f>
        <v>0.41891891891891841</v>
      </c>
      <c r="E57">
        <f t="shared" si="22"/>
        <v>0.41891891891891841</v>
      </c>
      <c r="F57">
        <f t="shared" si="22"/>
        <v>0.62837837837837818</v>
      </c>
      <c r="G57">
        <f t="shared" si="22"/>
        <v>0.69369369369369349</v>
      </c>
      <c r="H57">
        <f t="shared" si="22"/>
        <v>0.7263513513513512</v>
      </c>
      <c r="I57">
        <f t="shared" si="22"/>
        <v>0.74324324324324309</v>
      </c>
      <c r="J57">
        <f t="shared" si="22"/>
        <v>0.75</v>
      </c>
      <c r="K57">
        <f t="shared" si="22"/>
        <v>0.75289575289575283</v>
      </c>
      <c r="L57">
        <f t="shared" si="22"/>
        <v>0.75219594594594585</v>
      </c>
      <c r="M57">
        <f t="shared" si="22"/>
        <v>0.75090090090090089</v>
      </c>
      <c r="N57">
        <f t="shared" si="22"/>
        <v>0.74851351351351347</v>
      </c>
      <c r="O57">
        <f t="shared" si="22"/>
        <v>0.7453316953316953</v>
      </c>
      <c r="P57">
        <f t="shared" si="22"/>
        <v>0.74211711711711714</v>
      </c>
      <c r="Q57">
        <f t="shared" si="22"/>
        <v>0.73700623700623702</v>
      </c>
      <c r="R57">
        <f t="shared" si="22"/>
        <v>0.73262548262548266</v>
      </c>
      <c r="S57">
        <f t="shared" si="22"/>
        <v>0.73262548262548266</v>
      </c>
    </row>
    <row r="58" spans="3:19" x14ac:dyDescent="0.15">
      <c r="C58">
        <v>176.80339462517682</v>
      </c>
      <c r="D58">
        <f t="shared" ref="D58:S58" si="23">D25/0.000148</f>
        <v>0.35135135135135109</v>
      </c>
      <c r="E58">
        <f t="shared" si="23"/>
        <v>0.35135135135135109</v>
      </c>
      <c r="F58">
        <f t="shared" si="23"/>
        <v>0.56756756756756743</v>
      </c>
      <c r="G58">
        <f t="shared" si="23"/>
        <v>0.63963963963963943</v>
      </c>
      <c r="H58">
        <f t="shared" si="23"/>
        <v>0.67567567567567566</v>
      </c>
      <c r="I58">
        <f t="shared" si="23"/>
        <v>0.69729729729729728</v>
      </c>
      <c r="J58">
        <f t="shared" si="23"/>
        <v>0.70945945945945943</v>
      </c>
      <c r="K58">
        <f t="shared" si="23"/>
        <v>0.71814671814671815</v>
      </c>
      <c r="L58">
        <f t="shared" si="23"/>
        <v>0.7229729729729728</v>
      </c>
      <c r="M58">
        <f t="shared" si="23"/>
        <v>0.72402402402402399</v>
      </c>
      <c r="N58">
        <f t="shared" si="23"/>
        <v>0.73645945945945934</v>
      </c>
      <c r="O58">
        <f t="shared" si="23"/>
        <v>0.72358722358722349</v>
      </c>
      <c r="P58">
        <f t="shared" si="23"/>
        <v>0.72184684684684686</v>
      </c>
      <c r="Q58">
        <f t="shared" si="23"/>
        <v>0.71933471933471937</v>
      </c>
      <c r="R58">
        <f t="shared" si="23"/>
        <v>0.71621621621621623</v>
      </c>
      <c r="S58">
        <f t="shared" si="23"/>
        <v>0.71621621621621623</v>
      </c>
    </row>
    <row r="59" spans="3:19" x14ac:dyDescent="0.15">
      <c r="C59">
        <v>212.16407355021218</v>
      </c>
      <c r="D59">
        <f t="shared" ref="D59:S59" si="24">D26/0.000148</f>
        <v>0.35135135135135109</v>
      </c>
      <c r="E59">
        <f t="shared" si="24"/>
        <v>0.35135135135135109</v>
      </c>
      <c r="F59">
        <f t="shared" si="24"/>
        <v>0.54729729729729704</v>
      </c>
      <c r="G59">
        <f t="shared" si="24"/>
        <v>0.61261261261261235</v>
      </c>
      <c r="H59">
        <f t="shared" si="24"/>
        <v>0.64527027027027017</v>
      </c>
      <c r="I59">
        <f t="shared" si="24"/>
        <v>0.66486486486486474</v>
      </c>
      <c r="J59">
        <f t="shared" si="24"/>
        <v>0.677927927927928</v>
      </c>
      <c r="K59">
        <f t="shared" si="24"/>
        <v>0.68725868725868722</v>
      </c>
      <c r="L59">
        <f t="shared" si="24"/>
        <v>0.69425675675675669</v>
      </c>
      <c r="M59">
        <f t="shared" si="24"/>
        <v>0.69774774774774773</v>
      </c>
      <c r="N59">
        <f t="shared" si="24"/>
        <v>0.70000000000000007</v>
      </c>
      <c r="O59">
        <f t="shared" si="24"/>
        <v>0.70110565110565115</v>
      </c>
      <c r="P59">
        <f t="shared" si="24"/>
        <v>0.70123873873873876</v>
      </c>
      <c r="Q59">
        <f t="shared" si="24"/>
        <v>0.70062370062370061</v>
      </c>
      <c r="R59">
        <f t="shared" si="24"/>
        <v>0.69884169884169878</v>
      </c>
      <c r="S59">
        <f t="shared" si="24"/>
        <v>0.69884169884169878</v>
      </c>
    </row>
    <row r="60" spans="3:19" x14ac:dyDescent="0.15">
      <c r="C60">
        <v>247.52475247524754</v>
      </c>
      <c r="D60">
        <f t="shared" ref="D60:S60" si="25">D27/0.000148</f>
        <v>0.37837837837837751</v>
      </c>
      <c r="E60">
        <f t="shared" si="25"/>
        <v>0.37837837837837751</v>
      </c>
      <c r="F60">
        <f t="shared" si="25"/>
        <v>0.54729729729729704</v>
      </c>
      <c r="G60">
        <f t="shared" si="25"/>
        <v>0.59909909909909909</v>
      </c>
      <c r="H60">
        <f t="shared" si="25"/>
        <v>0.62837837837837818</v>
      </c>
      <c r="I60">
        <f t="shared" si="25"/>
        <v>0.66216216216216217</v>
      </c>
      <c r="J60">
        <f t="shared" si="25"/>
        <v>0.6576576576576576</v>
      </c>
      <c r="K60">
        <f t="shared" si="25"/>
        <v>0.66602316602316602</v>
      </c>
      <c r="L60">
        <f t="shared" si="25"/>
        <v>0.67060810810810811</v>
      </c>
      <c r="M60">
        <f t="shared" si="25"/>
        <v>0.67537537537537529</v>
      </c>
      <c r="N60">
        <f t="shared" si="25"/>
        <v>0.67837837837837833</v>
      </c>
      <c r="O60">
        <f t="shared" si="25"/>
        <v>0.68034398034398025</v>
      </c>
      <c r="P60">
        <f t="shared" si="25"/>
        <v>0.68141891891891881</v>
      </c>
      <c r="Q60">
        <f t="shared" si="25"/>
        <v>0.68191268191268195</v>
      </c>
      <c r="R60">
        <f t="shared" si="25"/>
        <v>0.68146718146718144</v>
      </c>
      <c r="S60">
        <f t="shared" si="25"/>
        <v>0.68146718146718144</v>
      </c>
    </row>
    <row r="61" spans="3:19" x14ac:dyDescent="0.15">
      <c r="C61">
        <v>282.88543140028293</v>
      </c>
      <c r="D61">
        <f t="shared" ref="D61:S61" si="26">D28/0.000148</f>
        <v>0.40540540540540521</v>
      </c>
      <c r="E61">
        <f t="shared" si="26"/>
        <v>0.40540540540540521</v>
      </c>
      <c r="F61">
        <f t="shared" si="26"/>
        <v>0.54729729729729704</v>
      </c>
      <c r="G61">
        <f t="shared" si="26"/>
        <v>0.59459459459459474</v>
      </c>
      <c r="H61">
        <f t="shared" si="26"/>
        <v>0.61824324324324331</v>
      </c>
      <c r="I61">
        <f t="shared" si="26"/>
        <v>0.63243243243243241</v>
      </c>
      <c r="J61">
        <f t="shared" si="26"/>
        <v>0.64189189189189177</v>
      </c>
      <c r="K61">
        <f t="shared" si="26"/>
        <v>0.64671814671814676</v>
      </c>
      <c r="L61">
        <f t="shared" si="26"/>
        <v>0.65202702702702697</v>
      </c>
      <c r="M61">
        <f t="shared" si="26"/>
        <v>0.65630630630630626</v>
      </c>
      <c r="N61">
        <f t="shared" si="26"/>
        <v>0.65918918918918923</v>
      </c>
      <c r="O61">
        <f t="shared" si="26"/>
        <v>0.66127764127764133</v>
      </c>
      <c r="P61">
        <f t="shared" si="26"/>
        <v>0.66272522522522526</v>
      </c>
      <c r="Q61">
        <f t="shared" si="26"/>
        <v>0.66320166320166318</v>
      </c>
      <c r="R61">
        <f t="shared" si="26"/>
        <v>0.6640926640926641</v>
      </c>
      <c r="S61">
        <f t="shared" si="26"/>
        <v>0.6640926640926641</v>
      </c>
    </row>
    <row r="62" spans="3:19" x14ac:dyDescent="0.15">
      <c r="C62">
        <v>318.24611032531828</v>
      </c>
      <c r="D62">
        <f t="shared" ref="D62:S62" si="27">D29/0.000148</f>
        <v>0.45945945945945932</v>
      </c>
      <c r="E62">
        <f t="shared" si="27"/>
        <v>0.45945945945945932</v>
      </c>
      <c r="F62">
        <f t="shared" si="27"/>
        <v>0.56081081081081086</v>
      </c>
      <c r="G62">
        <f t="shared" si="27"/>
        <v>0.59909909909909909</v>
      </c>
      <c r="H62">
        <f t="shared" si="27"/>
        <v>0.61486486486486502</v>
      </c>
      <c r="I62">
        <f t="shared" si="27"/>
        <v>0.62432432432432428</v>
      </c>
      <c r="J62">
        <f t="shared" si="27"/>
        <v>0.63063063063063074</v>
      </c>
      <c r="K62">
        <f t="shared" si="27"/>
        <v>0.6351351351351352</v>
      </c>
      <c r="L62">
        <f t="shared" si="27"/>
        <v>0.6385135135135136</v>
      </c>
      <c r="M62">
        <f t="shared" si="27"/>
        <v>0.64114114114114118</v>
      </c>
      <c r="N62">
        <f t="shared" si="27"/>
        <v>0.64364864864864868</v>
      </c>
      <c r="O62">
        <f t="shared" si="27"/>
        <v>0.64546683046683051</v>
      </c>
      <c r="P62">
        <f t="shared" si="27"/>
        <v>0.64673423423423426</v>
      </c>
      <c r="Q62">
        <f t="shared" si="27"/>
        <v>0.64760914760914778</v>
      </c>
      <c r="R62">
        <f t="shared" si="27"/>
        <v>0.64768339768339778</v>
      </c>
      <c r="S62">
        <f t="shared" si="27"/>
        <v>0.64768339768339778</v>
      </c>
    </row>
    <row r="63" spans="3:19" x14ac:dyDescent="0.15">
      <c r="C63">
        <v>353.60678925035364</v>
      </c>
      <c r="D63">
        <f t="shared" ref="D63:S63" si="28">D30/0.000148</f>
        <v>0.51351351351351338</v>
      </c>
      <c r="E63">
        <f t="shared" si="28"/>
        <v>0.51351351351351338</v>
      </c>
      <c r="F63">
        <f t="shared" si="28"/>
        <v>0.58783783783783794</v>
      </c>
      <c r="G63">
        <f t="shared" si="28"/>
        <v>0.60810810810810823</v>
      </c>
      <c r="H63">
        <f t="shared" si="28"/>
        <v>0.61486486486486502</v>
      </c>
      <c r="I63">
        <f t="shared" si="28"/>
        <v>0.61891891891891904</v>
      </c>
      <c r="J63">
        <f t="shared" si="28"/>
        <v>0.62387387387387394</v>
      </c>
      <c r="K63">
        <f t="shared" si="28"/>
        <v>0.62548262548262556</v>
      </c>
      <c r="L63">
        <f t="shared" si="28"/>
        <v>0.62837837837837851</v>
      </c>
      <c r="M63">
        <f t="shared" si="28"/>
        <v>0.62912912912912922</v>
      </c>
      <c r="N63">
        <f t="shared" si="28"/>
        <v>0.63121621621621626</v>
      </c>
      <c r="O63">
        <f t="shared" si="28"/>
        <v>0.63230958230958245</v>
      </c>
      <c r="P63">
        <f t="shared" si="28"/>
        <v>0.63322072072072078</v>
      </c>
      <c r="Q63">
        <f t="shared" si="28"/>
        <v>0.63378378378378397</v>
      </c>
      <c r="R63">
        <f t="shared" si="28"/>
        <v>0.63416988416988418</v>
      </c>
      <c r="S63">
        <f t="shared" si="28"/>
        <v>0.63416988416988418</v>
      </c>
    </row>
    <row r="64" spans="3:19" x14ac:dyDescent="0.15">
      <c r="C64">
        <v>388.967468175389</v>
      </c>
      <c r="D64">
        <f t="shared" ref="D64:S64" si="29">D31/0.000148</f>
        <v>0.59459459459459396</v>
      </c>
      <c r="E64">
        <f t="shared" si="29"/>
        <v>0.59459459459459396</v>
      </c>
      <c r="F64">
        <f t="shared" si="29"/>
        <v>0.61486486486486436</v>
      </c>
      <c r="G64">
        <f t="shared" si="29"/>
        <v>0.62162162162162138</v>
      </c>
      <c r="H64">
        <f t="shared" si="29"/>
        <v>0.62162162162162138</v>
      </c>
      <c r="I64">
        <f t="shared" si="29"/>
        <v>0.6216216216216216</v>
      </c>
      <c r="J64">
        <f t="shared" si="29"/>
        <v>0.61936936936936937</v>
      </c>
      <c r="K64">
        <f t="shared" si="29"/>
        <v>0.61969111969111956</v>
      </c>
      <c r="L64">
        <f t="shared" si="29"/>
        <v>0.61993243243243246</v>
      </c>
      <c r="M64">
        <f t="shared" si="29"/>
        <v>0.62012012012012019</v>
      </c>
      <c r="N64">
        <f t="shared" si="29"/>
        <v>0.62108108108108107</v>
      </c>
      <c r="O64">
        <f t="shared" si="29"/>
        <v>0.62149877149877142</v>
      </c>
      <c r="P64">
        <f t="shared" si="29"/>
        <v>0.62173423423423435</v>
      </c>
      <c r="Q64">
        <f t="shared" si="29"/>
        <v>0.62193347193347193</v>
      </c>
      <c r="R64">
        <f t="shared" si="29"/>
        <v>0.6216216216216216</v>
      </c>
      <c r="S64">
        <f t="shared" si="29"/>
        <v>0.6216216216216216</v>
      </c>
    </row>
    <row r="65" spans="3:19" x14ac:dyDescent="0.15">
      <c r="C65">
        <v>424.32814710042436</v>
      </c>
      <c r="D65">
        <f t="shared" ref="D65:S65" si="30">D32/0.000148</f>
        <v>0.67567567567567577</v>
      </c>
      <c r="E65">
        <f t="shared" si="30"/>
        <v>0.67567567567567577</v>
      </c>
      <c r="F65">
        <f t="shared" si="30"/>
        <v>0.641891891891892</v>
      </c>
      <c r="G65">
        <f t="shared" si="30"/>
        <v>0.63513513513513509</v>
      </c>
      <c r="H65">
        <f t="shared" si="30"/>
        <v>0.6283783783783784</v>
      </c>
      <c r="I65">
        <f t="shared" si="30"/>
        <v>0.62432432432432428</v>
      </c>
      <c r="J65">
        <f t="shared" si="30"/>
        <v>0.61936936936936937</v>
      </c>
      <c r="K65">
        <f t="shared" si="30"/>
        <v>0.61776061776061775</v>
      </c>
      <c r="L65">
        <f t="shared" si="30"/>
        <v>0.6148648648648648</v>
      </c>
      <c r="M65">
        <f t="shared" si="30"/>
        <v>0.6141141141141141</v>
      </c>
      <c r="N65">
        <f t="shared" si="30"/>
        <v>0.61283783783783785</v>
      </c>
      <c r="O65">
        <f t="shared" si="30"/>
        <v>0.61228501228501231</v>
      </c>
      <c r="P65">
        <f t="shared" si="30"/>
        <v>0.61193693693693707</v>
      </c>
      <c r="Q65">
        <f t="shared" si="30"/>
        <v>0.61153846153846148</v>
      </c>
      <c r="R65">
        <f t="shared" si="30"/>
        <v>0.61100386100386095</v>
      </c>
      <c r="S65">
        <f t="shared" si="30"/>
        <v>0.61100386100386095</v>
      </c>
    </row>
    <row r="66" spans="3:19" x14ac:dyDescent="0.15">
      <c r="C66">
        <v>459.68882602545972</v>
      </c>
      <c r="D66">
        <f t="shared" ref="D66:S66" si="31">D33/0.000148</f>
        <v>0.75675675675675635</v>
      </c>
      <c r="E66">
        <f t="shared" si="31"/>
        <v>0.75675675675675635</v>
      </c>
      <c r="F66">
        <f t="shared" si="31"/>
        <v>0.68243243243243235</v>
      </c>
      <c r="G66">
        <f t="shared" si="31"/>
        <v>0.65315315315315314</v>
      </c>
      <c r="H66">
        <f t="shared" si="31"/>
        <v>0.6385135135135136</v>
      </c>
      <c r="I66">
        <f t="shared" si="31"/>
        <v>0.62972972972972974</v>
      </c>
      <c r="J66">
        <f t="shared" si="31"/>
        <v>0.62162162162162171</v>
      </c>
      <c r="K66">
        <f t="shared" si="31"/>
        <v>0.61583011583011582</v>
      </c>
      <c r="L66">
        <f t="shared" si="31"/>
        <v>0.61148648648648651</v>
      </c>
      <c r="M66">
        <f t="shared" si="31"/>
        <v>0.60810810810810811</v>
      </c>
      <c r="N66">
        <f t="shared" si="31"/>
        <v>0.60635135135135132</v>
      </c>
      <c r="O66">
        <f t="shared" si="31"/>
        <v>0.60454545454545461</v>
      </c>
      <c r="P66">
        <f t="shared" si="31"/>
        <v>0.60350225225225229</v>
      </c>
      <c r="Q66">
        <f t="shared" si="31"/>
        <v>0.60249480249480258</v>
      </c>
      <c r="R66">
        <f t="shared" si="31"/>
        <v>0.60164092664092661</v>
      </c>
      <c r="S66">
        <f t="shared" si="31"/>
        <v>0.60164092664092661</v>
      </c>
    </row>
    <row r="67" spans="3:19" x14ac:dyDescent="0.15">
      <c r="C67">
        <v>495.04950495049508</v>
      </c>
      <c r="D67">
        <f t="shared" ref="D67:S67" si="32">D34/0.000148</f>
        <v>0.8513513513513512</v>
      </c>
      <c r="E67">
        <f t="shared" si="32"/>
        <v>0.8513513513513512</v>
      </c>
      <c r="F67">
        <f t="shared" si="32"/>
        <v>0.71621621621621667</v>
      </c>
      <c r="G67">
        <f t="shared" si="32"/>
        <v>0.67567567567567588</v>
      </c>
      <c r="H67">
        <f t="shared" si="32"/>
        <v>0.65202702702702708</v>
      </c>
      <c r="I67">
        <f t="shared" si="32"/>
        <v>0.6351351351351352</v>
      </c>
      <c r="J67">
        <f t="shared" si="32"/>
        <v>0.62387387387387394</v>
      </c>
      <c r="K67">
        <f t="shared" si="32"/>
        <v>0.61583011583011593</v>
      </c>
      <c r="L67">
        <f t="shared" si="32"/>
        <v>0.60979729729729737</v>
      </c>
      <c r="M67">
        <f t="shared" si="32"/>
        <v>0.60510510510510529</v>
      </c>
      <c r="N67">
        <f t="shared" si="32"/>
        <v>0.60121621621621624</v>
      </c>
      <c r="O67">
        <f t="shared" si="32"/>
        <v>0.59852579852579846</v>
      </c>
      <c r="P67">
        <f t="shared" si="32"/>
        <v>0.59641891891891907</v>
      </c>
      <c r="Q67">
        <f t="shared" si="32"/>
        <v>0.59469854469854477</v>
      </c>
      <c r="R67">
        <f t="shared" si="32"/>
        <v>0.59324324324324318</v>
      </c>
      <c r="S67">
        <f t="shared" si="32"/>
        <v>0.59324324324324318</v>
      </c>
    </row>
    <row r="68" spans="3:19" x14ac:dyDescent="0.15">
      <c r="C68">
        <v>530.41018387553049</v>
      </c>
      <c r="D68">
        <f t="shared" ref="D68:S68" si="33">D35/0.000148</f>
        <v>0.8513513513513512</v>
      </c>
      <c r="E68">
        <f t="shared" si="33"/>
        <v>0.8513513513513512</v>
      </c>
      <c r="F68">
        <f t="shared" si="33"/>
        <v>0.71621621621621667</v>
      </c>
      <c r="G68">
        <f t="shared" si="33"/>
        <v>0.67567567567567588</v>
      </c>
      <c r="H68">
        <f t="shared" si="33"/>
        <v>0.65202702702702708</v>
      </c>
      <c r="I68">
        <f t="shared" si="33"/>
        <v>0.6351351351351352</v>
      </c>
      <c r="J68">
        <f t="shared" si="33"/>
        <v>0.62387387387387394</v>
      </c>
      <c r="K68">
        <f t="shared" si="33"/>
        <v>0.61583011583011593</v>
      </c>
      <c r="L68">
        <f t="shared" si="33"/>
        <v>0.60979729729729737</v>
      </c>
      <c r="M68">
        <f t="shared" si="33"/>
        <v>0.60510510510510529</v>
      </c>
      <c r="N68">
        <f t="shared" si="33"/>
        <v>0.60121621621621624</v>
      </c>
      <c r="O68">
        <f t="shared" si="33"/>
        <v>0.59852579852579846</v>
      </c>
      <c r="P68">
        <f t="shared" si="33"/>
        <v>0.59641891891891907</v>
      </c>
      <c r="Q68">
        <f t="shared" si="33"/>
        <v>0.59469854469854477</v>
      </c>
      <c r="R68">
        <f t="shared" si="33"/>
        <v>0.59324324324324318</v>
      </c>
      <c r="S68">
        <f t="shared" si="33"/>
        <v>0.59324324324324318</v>
      </c>
    </row>
  </sheetData>
  <phoneticPr fontId="3" type="noConversion"/>
  <pageMargins left="0.75" right="0.75" top="1" bottom="1" header="0.51" footer="0.51"/>
  <pageSetup paperSize="9" orientation="portrait" horizontalDpi="0" verticalDpi="0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68"/>
  <sheetViews>
    <sheetView topLeftCell="A36" zoomScale="70" zoomScaleNormal="70" zoomScaleSheetLayoutView="100" workbookViewId="0">
      <selection activeCell="H71" sqref="H71"/>
    </sheetView>
  </sheetViews>
  <sheetFormatPr defaultColWidth="9" defaultRowHeight="14.25" x14ac:dyDescent="0.15"/>
  <sheetData>
    <row r="2" spans="2:19" x14ac:dyDescent="0.15">
      <c r="B2" t="s">
        <v>3</v>
      </c>
    </row>
    <row r="3" spans="2:19" x14ac:dyDescent="0.15">
      <c r="D3">
        <v>0</v>
      </c>
      <c r="E3">
        <v>-50</v>
      </c>
      <c r="F3">
        <v>-100</v>
      </c>
      <c r="G3">
        <v>-150</v>
      </c>
      <c r="H3">
        <v>-200</v>
      </c>
      <c r="I3">
        <v>-250</v>
      </c>
      <c r="J3">
        <v>-300</v>
      </c>
      <c r="K3">
        <v>-350</v>
      </c>
      <c r="L3">
        <v>-400</v>
      </c>
      <c r="M3">
        <v>-450</v>
      </c>
      <c r="N3">
        <v>-500</v>
      </c>
      <c r="O3">
        <v>-550</v>
      </c>
      <c r="P3">
        <v>-600</v>
      </c>
      <c r="Q3">
        <v>-650</v>
      </c>
      <c r="R3">
        <v>-700</v>
      </c>
      <c r="S3">
        <v>-750</v>
      </c>
    </row>
    <row r="4" spans="2:19" x14ac:dyDescent="0.15">
      <c r="D4">
        <f>-D3/1.414</f>
        <v>0</v>
      </c>
      <c r="E4">
        <f t="shared" ref="E4:S4" si="0">-E3/1.414</f>
        <v>35.360678925035366</v>
      </c>
      <c r="F4">
        <f t="shared" si="0"/>
        <v>70.721357850070731</v>
      </c>
      <c r="G4">
        <f t="shared" si="0"/>
        <v>106.08203677510609</v>
      </c>
      <c r="H4">
        <f t="shared" si="0"/>
        <v>141.44271570014146</v>
      </c>
      <c r="I4">
        <f t="shared" si="0"/>
        <v>176.80339462517682</v>
      </c>
      <c r="J4">
        <f t="shared" si="0"/>
        <v>212.16407355021218</v>
      </c>
      <c r="K4">
        <f t="shared" si="0"/>
        <v>247.52475247524754</v>
      </c>
      <c r="L4">
        <f t="shared" si="0"/>
        <v>282.88543140028293</v>
      </c>
      <c r="M4">
        <f t="shared" si="0"/>
        <v>318.24611032531828</v>
      </c>
      <c r="N4">
        <f t="shared" si="0"/>
        <v>353.60678925035364</v>
      </c>
      <c r="O4">
        <f t="shared" si="0"/>
        <v>388.967468175389</v>
      </c>
      <c r="P4">
        <f t="shared" si="0"/>
        <v>424.32814710042436</v>
      </c>
      <c r="Q4">
        <f t="shared" si="0"/>
        <v>459.68882602545972</v>
      </c>
      <c r="R4">
        <f t="shared" si="0"/>
        <v>495.04950495049508</v>
      </c>
      <c r="S4">
        <f t="shared" si="0"/>
        <v>530.41018387553049</v>
      </c>
    </row>
    <row r="5" spans="2:19" x14ac:dyDescent="0.15">
      <c r="B5">
        <v>-750</v>
      </c>
      <c r="C5">
        <f>B5/1.414</f>
        <v>-530.41018387553049</v>
      </c>
      <c r="D5">
        <v>1.8857142857142857E-4</v>
      </c>
      <c r="E5">
        <v>1.9000000000000001E-4</v>
      </c>
      <c r="F5">
        <v>1.9000000000000001E-4</v>
      </c>
      <c r="G5">
        <v>1.9142857142857145E-4</v>
      </c>
      <c r="H5">
        <v>1.9285714285714286E-4</v>
      </c>
      <c r="I5">
        <v>1.9285714285714286E-4</v>
      </c>
      <c r="J5">
        <v>1.9285714285714286E-4</v>
      </c>
      <c r="K5">
        <v>1.942857142857143E-4</v>
      </c>
      <c r="L5">
        <v>1.942857142857143E-4</v>
      </c>
      <c r="M5">
        <v>1.942857142857143E-4</v>
      </c>
      <c r="N5">
        <v>1.9285714285714286E-4</v>
      </c>
      <c r="O5">
        <v>1.9285714285714286E-4</v>
      </c>
      <c r="P5">
        <v>1.9285714285714286E-4</v>
      </c>
      <c r="Q5">
        <v>1.9142857142857145E-4</v>
      </c>
      <c r="R5">
        <v>1.9142857142857145E-4</v>
      </c>
      <c r="S5">
        <v>1.9142857142857145E-4</v>
      </c>
    </row>
    <row r="6" spans="2:19" x14ac:dyDescent="0.15">
      <c r="B6">
        <v>-700</v>
      </c>
      <c r="C6">
        <f>B6/1.414</f>
        <v>-495.04950495049508</v>
      </c>
      <c r="D6">
        <v>1.8857142857142857E-4</v>
      </c>
      <c r="E6">
        <v>1.9000000000000001E-4</v>
      </c>
      <c r="F6">
        <v>1.9000000000000001E-4</v>
      </c>
      <c r="G6">
        <v>1.9142857142857145E-4</v>
      </c>
      <c r="H6">
        <v>1.9285714285714286E-4</v>
      </c>
      <c r="I6">
        <v>1.9285714285714286E-4</v>
      </c>
      <c r="J6">
        <v>1.9285714285714286E-4</v>
      </c>
      <c r="K6">
        <v>1.942857142857143E-4</v>
      </c>
      <c r="L6">
        <v>1.942857142857143E-4</v>
      </c>
      <c r="M6">
        <v>1.942857142857143E-4</v>
      </c>
      <c r="N6">
        <v>1.9285714285714286E-4</v>
      </c>
      <c r="O6">
        <v>1.9285714285714286E-4</v>
      </c>
      <c r="P6">
        <v>1.9285714285714286E-4</v>
      </c>
      <c r="Q6">
        <v>1.9142857142857145E-4</v>
      </c>
      <c r="R6">
        <v>1.9142857142857145E-4</v>
      </c>
      <c r="S6">
        <v>1.9142857142857145E-4</v>
      </c>
    </row>
    <row r="7" spans="2:19" x14ac:dyDescent="0.15">
      <c r="B7">
        <v>-650</v>
      </c>
      <c r="C7">
        <f t="shared" ref="C7:C35" si="1">B7/1.414</f>
        <v>-459.68882602545972</v>
      </c>
      <c r="D7">
        <v>2.0000000000000001E-4</v>
      </c>
      <c r="E7">
        <v>2.0153846153846155E-4</v>
      </c>
      <c r="F7">
        <v>2.0307692307692309E-4</v>
      </c>
      <c r="G7">
        <v>2.0307692307692309E-4</v>
      </c>
      <c r="H7">
        <v>2.0461538461538463E-4</v>
      </c>
      <c r="I7">
        <v>2.0461538461538463E-4</v>
      </c>
      <c r="J7">
        <v>2.0461538461538463E-4</v>
      </c>
      <c r="K7">
        <v>2.0461538461538463E-4</v>
      </c>
      <c r="L7">
        <v>2.0615384615384617E-4</v>
      </c>
      <c r="M7">
        <v>2.0461538461538463E-4</v>
      </c>
      <c r="N7">
        <v>2.0461538461538463E-4</v>
      </c>
      <c r="O7">
        <v>2.0461538461538463E-4</v>
      </c>
      <c r="P7">
        <v>2.0307692307692309E-4</v>
      </c>
      <c r="Q7">
        <v>2.0307692307692309E-4</v>
      </c>
      <c r="R7">
        <v>2.0153846153846155E-4</v>
      </c>
      <c r="S7">
        <v>2.0153846153846155E-4</v>
      </c>
    </row>
    <row r="8" spans="2:19" x14ac:dyDescent="0.15">
      <c r="B8">
        <v>-600</v>
      </c>
      <c r="C8">
        <f t="shared" si="1"/>
        <v>-424.32814710042436</v>
      </c>
      <c r="D8">
        <v>2.1333333333333333E-4</v>
      </c>
      <c r="E8">
        <v>2.1499999999999999E-4</v>
      </c>
      <c r="F8">
        <v>2.1666666666666668E-4</v>
      </c>
      <c r="G8">
        <v>2.1666666666666668E-4</v>
      </c>
      <c r="H8">
        <v>2.1833333333333335E-4</v>
      </c>
      <c r="I8">
        <v>2.1833333333333335E-4</v>
      </c>
      <c r="J8">
        <v>2.1833333333333335E-4</v>
      </c>
      <c r="K8">
        <v>2.1833333333333335E-4</v>
      </c>
      <c r="L8">
        <v>2.1833333333333335E-4</v>
      </c>
      <c r="M8">
        <v>2.1833333333333335E-4</v>
      </c>
      <c r="N8">
        <v>2.1666666666666668E-4</v>
      </c>
      <c r="O8">
        <v>2.1666666666666668E-4</v>
      </c>
      <c r="P8">
        <v>2.1499999999999999E-4</v>
      </c>
      <c r="Q8">
        <v>2.1499999999999999E-4</v>
      </c>
      <c r="R8">
        <v>2.1333333333333333E-4</v>
      </c>
      <c r="S8">
        <v>2.1333333333333333E-4</v>
      </c>
    </row>
    <row r="9" spans="2:19" x14ac:dyDescent="0.15">
      <c r="B9">
        <v>-550</v>
      </c>
      <c r="C9">
        <f t="shared" si="1"/>
        <v>-388.967468175389</v>
      </c>
      <c r="D9">
        <v>2.290909090909091E-4</v>
      </c>
      <c r="E9">
        <v>2.3090909090909092E-4</v>
      </c>
      <c r="F9">
        <v>2.3090909090909092E-4</v>
      </c>
      <c r="G9">
        <v>2.3272727272727274E-4</v>
      </c>
      <c r="H9">
        <v>2.3272727272727274E-4</v>
      </c>
      <c r="I9">
        <v>2.3272727272727274E-4</v>
      </c>
      <c r="J9">
        <v>2.3272727272727274E-4</v>
      </c>
      <c r="K9">
        <v>2.3272727272727274E-4</v>
      </c>
      <c r="L9">
        <v>2.3272727272727274E-4</v>
      </c>
      <c r="M9">
        <v>2.3272727272727274E-4</v>
      </c>
      <c r="N9">
        <v>2.3090909090909092E-4</v>
      </c>
      <c r="O9">
        <v>2.3090909090909092E-4</v>
      </c>
      <c r="P9">
        <v>2.290909090909091E-4</v>
      </c>
      <c r="Q9">
        <v>2.2727272727272727E-4</v>
      </c>
      <c r="R9">
        <v>2.2545454545454545E-4</v>
      </c>
      <c r="S9">
        <v>2.2545454545454545E-4</v>
      </c>
    </row>
    <row r="10" spans="2:19" x14ac:dyDescent="0.15">
      <c r="B10">
        <v>-500</v>
      </c>
      <c r="C10">
        <f t="shared" si="1"/>
        <v>-353.60678925035364</v>
      </c>
      <c r="D10">
        <v>2.4600000000000002E-4</v>
      </c>
      <c r="E10">
        <v>2.4800000000000001E-4</v>
      </c>
      <c r="F10">
        <v>2.4800000000000001E-4</v>
      </c>
      <c r="G10">
        <v>2.5000000000000001E-4</v>
      </c>
      <c r="H10">
        <v>2.5000000000000001E-4</v>
      </c>
      <c r="I10">
        <v>2.5000000000000001E-4</v>
      </c>
      <c r="J10">
        <v>2.5000000000000001E-4</v>
      </c>
      <c r="K10">
        <v>2.5000000000000001E-4</v>
      </c>
      <c r="L10">
        <v>2.5000000000000001E-4</v>
      </c>
      <c r="M10">
        <v>2.4800000000000001E-4</v>
      </c>
      <c r="N10">
        <v>2.4600000000000002E-4</v>
      </c>
      <c r="O10">
        <v>2.4600000000000002E-4</v>
      </c>
      <c r="P10">
        <v>2.4399999999999999E-4</v>
      </c>
      <c r="Q10">
        <v>2.42E-4</v>
      </c>
      <c r="R10">
        <v>2.3799999999999998E-4</v>
      </c>
      <c r="S10">
        <v>2.3799999999999998E-4</v>
      </c>
    </row>
    <row r="11" spans="2:19" x14ac:dyDescent="0.15">
      <c r="B11">
        <v>-450</v>
      </c>
      <c r="C11">
        <f t="shared" si="1"/>
        <v>-318.24611032531828</v>
      </c>
      <c r="D11">
        <v>2.6666666666666668E-4</v>
      </c>
      <c r="E11">
        <v>2.6888888888888888E-4</v>
      </c>
      <c r="F11">
        <v>2.6888888888888888E-4</v>
      </c>
      <c r="G11">
        <v>2.6888888888888888E-4</v>
      </c>
      <c r="H11">
        <v>2.6888888888888888E-4</v>
      </c>
      <c r="I11">
        <v>2.6888888888888888E-4</v>
      </c>
      <c r="J11">
        <v>2.6888888888888888E-4</v>
      </c>
      <c r="K11">
        <v>2.6888888888888888E-4</v>
      </c>
      <c r="L11">
        <v>2.6666666666666668E-4</v>
      </c>
      <c r="M11">
        <v>2.6666666666666668E-4</v>
      </c>
      <c r="N11">
        <v>2.6444444444444443E-4</v>
      </c>
      <c r="O11">
        <v>2.6222222222222223E-4</v>
      </c>
      <c r="P11">
        <v>2.5999999999999998E-4</v>
      </c>
      <c r="Q11">
        <v>2.5555555555555553E-4</v>
      </c>
      <c r="R11">
        <v>2.5333333333333333E-4</v>
      </c>
      <c r="S11">
        <v>2.5333333333333333E-4</v>
      </c>
    </row>
    <row r="12" spans="2:19" x14ac:dyDescent="0.15">
      <c r="B12">
        <v>-400</v>
      </c>
      <c r="C12">
        <f t="shared" si="1"/>
        <v>-282.88543140028293</v>
      </c>
      <c r="D12">
        <v>2.9E-4</v>
      </c>
      <c r="E12">
        <v>2.9250000000000001E-4</v>
      </c>
      <c r="F12">
        <v>2.9250000000000001E-4</v>
      </c>
      <c r="G12">
        <v>2.9250000000000001E-4</v>
      </c>
      <c r="H12">
        <v>2.9250000000000001E-4</v>
      </c>
      <c r="I12">
        <v>2.9250000000000001E-4</v>
      </c>
      <c r="J12">
        <v>2.9E-4</v>
      </c>
      <c r="K12">
        <v>2.9E-4</v>
      </c>
      <c r="L12">
        <v>2.875E-4</v>
      </c>
      <c r="M12">
        <v>2.8499999999999999E-4</v>
      </c>
      <c r="N12">
        <v>2.8249999999999998E-4</v>
      </c>
      <c r="O12">
        <v>2.8000000000000003E-4</v>
      </c>
      <c r="P12">
        <v>2.7500000000000002E-4</v>
      </c>
      <c r="Q12">
        <v>2.7250000000000001E-4</v>
      </c>
      <c r="R12">
        <v>2.6750000000000005E-4</v>
      </c>
      <c r="S12">
        <v>2.6750000000000005E-4</v>
      </c>
    </row>
    <row r="13" spans="2:19" x14ac:dyDescent="0.15">
      <c r="B13">
        <v>-350</v>
      </c>
      <c r="C13">
        <f t="shared" si="1"/>
        <v>-247.52475247524754</v>
      </c>
      <c r="D13">
        <v>3.2000000000000003E-4</v>
      </c>
      <c r="E13">
        <v>3.2000000000000003E-4</v>
      </c>
      <c r="F13">
        <v>3.2000000000000003E-4</v>
      </c>
      <c r="G13">
        <v>3.2000000000000003E-4</v>
      </c>
      <c r="H13">
        <v>3.2000000000000003E-4</v>
      </c>
      <c r="I13">
        <v>3.171428571428572E-4</v>
      </c>
      <c r="J13">
        <v>3.171428571428572E-4</v>
      </c>
      <c r="K13">
        <v>3.1428571428571432E-4</v>
      </c>
      <c r="L13">
        <v>3.1142857142857149E-4</v>
      </c>
      <c r="M13">
        <v>3.0571428571428573E-4</v>
      </c>
      <c r="N13">
        <v>3.0285714285714291E-4</v>
      </c>
      <c r="O13">
        <v>2.9714285714285715E-4</v>
      </c>
      <c r="P13">
        <v>2.9428571428571432E-4</v>
      </c>
      <c r="Q13">
        <v>2.8857142857142862E-4</v>
      </c>
      <c r="R13">
        <v>2.8371428571428569E-4</v>
      </c>
      <c r="S13">
        <v>2.8371428571428569E-4</v>
      </c>
    </row>
    <row r="14" spans="2:19" x14ac:dyDescent="0.15">
      <c r="B14">
        <v>-300</v>
      </c>
      <c r="C14">
        <f t="shared" si="1"/>
        <v>-212.16407355021218</v>
      </c>
      <c r="D14">
        <v>3.5333333333333337E-4</v>
      </c>
      <c r="E14">
        <v>3.5333333333333337E-4</v>
      </c>
      <c r="F14">
        <v>3.5333333333333337E-4</v>
      </c>
      <c r="G14">
        <v>3.5000000000000005E-4</v>
      </c>
      <c r="H14">
        <v>3.5000000000000005E-4</v>
      </c>
      <c r="I14">
        <v>3.4666666666666667E-4</v>
      </c>
      <c r="J14">
        <v>3.4333333333333335E-4</v>
      </c>
      <c r="K14">
        <v>3.4000000000000002E-4</v>
      </c>
      <c r="L14">
        <v>3.3333333333333338E-4</v>
      </c>
      <c r="M14">
        <v>3.2833333333333336E-4</v>
      </c>
      <c r="N14">
        <v>3.2266666666666663E-4</v>
      </c>
      <c r="O14">
        <v>3.1699999999999995E-4</v>
      </c>
      <c r="P14">
        <v>3.1100000000000002E-4</v>
      </c>
      <c r="Q14">
        <v>3.0466666666666668E-4</v>
      </c>
      <c r="R14">
        <v>2.9866666666666664E-4</v>
      </c>
      <c r="S14">
        <v>2.9866666666666664E-4</v>
      </c>
    </row>
    <row r="15" spans="2:19" x14ac:dyDescent="0.15">
      <c r="B15">
        <v>-250</v>
      </c>
      <c r="C15">
        <f t="shared" si="1"/>
        <v>-176.80339462517682</v>
      </c>
      <c r="D15">
        <v>3.9039999999999995E-4</v>
      </c>
      <c r="E15">
        <v>3.8999999999999999E-4</v>
      </c>
      <c r="F15">
        <v>3.8839999999999995E-4</v>
      </c>
      <c r="G15">
        <v>3.8559999999999999E-4</v>
      </c>
      <c r="H15">
        <v>3.812E-4</v>
      </c>
      <c r="I15">
        <v>3.7559999999999997E-4</v>
      </c>
      <c r="J15">
        <v>3.6920000000000003E-4</v>
      </c>
      <c r="K15">
        <v>3.6240000000000003E-4</v>
      </c>
      <c r="L15">
        <v>3.5560000000000002E-4</v>
      </c>
      <c r="M15">
        <v>3.4840000000000001E-4</v>
      </c>
      <c r="N15">
        <v>3.412E-4</v>
      </c>
      <c r="O15">
        <v>3.3360000000000003E-4</v>
      </c>
      <c r="P15">
        <v>3.2639999999999996E-4</v>
      </c>
      <c r="Q15">
        <v>3.1920000000000006E-4</v>
      </c>
      <c r="R15">
        <v>3.1199999999999999E-4</v>
      </c>
      <c r="S15">
        <v>3.1199999999999999E-4</v>
      </c>
    </row>
    <row r="16" spans="2:19" x14ac:dyDescent="0.15">
      <c r="B16">
        <v>-200</v>
      </c>
      <c r="C16">
        <f t="shared" si="1"/>
        <v>-141.44271570014146</v>
      </c>
      <c r="D16">
        <v>4.305E-4</v>
      </c>
      <c r="E16">
        <v>4.2749999999999998E-4</v>
      </c>
      <c r="F16">
        <v>4.2200000000000001E-4</v>
      </c>
      <c r="G16">
        <v>4.1499999999999995E-4</v>
      </c>
      <c r="H16">
        <v>4.0700000000000003E-4</v>
      </c>
      <c r="I16">
        <v>3.9850000000000004E-4</v>
      </c>
      <c r="J16">
        <v>3.8999999999999999E-4</v>
      </c>
      <c r="K16">
        <v>3.8100000000000005E-4</v>
      </c>
      <c r="L16">
        <v>3.725E-4</v>
      </c>
      <c r="M16">
        <v>3.6400000000000001E-4</v>
      </c>
      <c r="N16">
        <v>3.5549999999999997E-4</v>
      </c>
      <c r="O16">
        <v>3.4699999999999992E-4</v>
      </c>
      <c r="P16">
        <v>3.3850000000000004E-4</v>
      </c>
      <c r="Q16">
        <v>3.3050000000000001E-4</v>
      </c>
      <c r="R16">
        <v>3.2300000000000004E-4</v>
      </c>
      <c r="S16">
        <v>3.2300000000000004E-4</v>
      </c>
    </row>
    <row r="17" spans="2:19" x14ac:dyDescent="0.15">
      <c r="B17">
        <v>-150</v>
      </c>
      <c r="C17">
        <f t="shared" si="1"/>
        <v>-106.08203677510609</v>
      </c>
      <c r="D17">
        <v>4.6133333333333334E-4</v>
      </c>
      <c r="E17">
        <v>4.5400000000000003E-4</v>
      </c>
      <c r="F17">
        <v>4.4400000000000006E-4</v>
      </c>
      <c r="G17">
        <v>4.3400000000000003E-4</v>
      </c>
      <c r="H17">
        <v>4.2333333333333334E-4</v>
      </c>
      <c r="I17">
        <v>4.1333333333333332E-4</v>
      </c>
      <c r="J17">
        <v>4.0400000000000001E-4</v>
      </c>
      <c r="K17">
        <v>3.9399999999999998E-4</v>
      </c>
      <c r="L17">
        <v>3.8400000000000001E-4</v>
      </c>
      <c r="M17">
        <v>3.7400000000000004E-4</v>
      </c>
      <c r="N17">
        <v>3.6466666666666673E-4</v>
      </c>
      <c r="O17">
        <v>3.546666666666667E-4</v>
      </c>
      <c r="P17">
        <v>3.4600000000000001E-4</v>
      </c>
      <c r="Q17">
        <v>3.3733333333333331E-4</v>
      </c>
      <c r="R17">
        <v>3.2933333333333333E-4</v>
      </c>
      <c r="S17">
        <v>3.2933333333333333E-4</v>
      </c>
    </row>
    <row r="18" spans="2:19" x14ac:dyDescent="0.15">
      <c r="B18">
        <v>-100</v>
      </c>
      <c r="C18">
        <f t="shared" si="1"/>
        <v>-70.721357850070731</v>
      </c>
      <c r="D18">
        <v>4.7399999999999997E-4</v>
      </c>
      <c r="E18">
        <v>4.6499999999999997E-4</v>
      </c>
      <c r="F18">
        <v>4.55E-4</v>
      </c>
      <c r="G18">
        <v>4.4499999999999997E-4</v>
      </c>
      <c r="H18">
        <v>4.3400000000000003E-4</v>
      </c>
      <c r="I18">
        <v>4.2400000000000001E-4</v>
      </c>
      <c r="J18">
        <v>4.1299999999999996E-4</v>
      </c>
      <c r="K18">
        <v>4.0100000000000004E-4</v>
      </c>
      <c r="L18">
        <v>3.8999999999999999E-4</v>
      </c>
      <c r="M18">
        <v>3.48E-4</v>
      </c>
      <c r="N18">
        <v>3.68E-4</v>
      </c>
      <c r="O18">
        <v>3.5799999999999997E-4</v>
      </c>
      <c r="P18">
        <v>3.48E-4</v>
      </c>
      <c r="Q18">
        <v>3.39E-4</v>
      </c>
      <c r="R18">
        <v>3.3E-4</v>
      </c>
      <c r="S18">
        <v>3.3E-4</v>
      </c>
    </row>
    <row r="19" spans="2:19" x14ac:dyDescent="0.15">
      <c r="B19">
        <v>-50</v>
      </c>
      <c r="C19">
        <f t="shared" si="1"/>
        <v>-35.360678925035366</v>
      </c>
      <c r="D19">
        <v>4.7799999999999996E-4</v>
      </c>
      <c r="E19">
        <v>4.6799999999999999E-4</v>
      </c>
      <c r="F19">
        <v>4.5800000000000002E-4</v>
      </c>
      <c r="G19">
        <v>4.4799999999999999E-4</v>
      </c>
      <c r="H19">
        <v>4.3999999999999996E-4</v>
      </c>
      <c r="I19">
        <v>4.28E-4</v>
      </c>
      <c r="J19">
        <v>4.1399999999999998E-4</v>
      </c>
      <c r="K19">
        <v>4.0200000000000001E-4</v>
      </c>
      <c r="L19">
        <v>3.88E-4</v>
      </c>
      <c r="M19">
        <v>3.7600000000000003E-4</v>
      </c>
      <c r="N19">
        <v>3.6199999999999996E-4</v>
      </c>
      <c r="O19">
        <v>3.5199999999999994E-4</v>
      </c>
      <c r="P19">
        <v>3.4200000000000002E-4</v>
      </c>
      <c r="Q19">
        <v>3.3E-4</v>
      </c>
      <c r="R19">
        <v>3.2200000000000002E-4</v>
      </c>
      <c r="S19">
        <v>3.2200000000000002E-4</v>
      </c>
    </row>
    <row r="20" spans="2:19" x14ac:dyDescent="0.15">
      <c r="B20">
        <v>0</v>
      </c>
      <c r="C20">
        <f t="shared" si="1"/>
        <v>0</v>
      </c>
      <c r="D20">
        <v>4.7799999999999996E-4</v>
      </c>
      <c r="E20">
        <v>4.6900000000000002E-4</v>
      </c>
      <c r="F20">
        <v>4.6100000000000004E-4</v>
      </c>
      <c r="G20">
        <v>4.5300000000000001E-4</v>
      </c>
      <c r="H20">
        <v>4.46E-4</v>
      </c>
      <c r="I20">
        <v>4.35E-4</v>
      </c>
      <c r="J20">
        <v>4.2299999999999998E-4</v>
      </c>
      <c r="K20">
        <v>4.1200000000000004E-4</v>
      </c>
      <c r="L20">
        <v>3.9999999999999996E-4</v>
      </c>
      <c r="M20">
        <v>3.8900000000000002E-4</v>
      </c>
      <c r="N20">
        <v>3.7799999999999997E-4</v>
      </c>
      <c r="O20">
        <v>3.6899999999999997E-4</v>
      </c>
      <c r="P20">
        <v>3.6099999999999999E-4</v>
      </c>
      <c r="Q20">
        <v>3.5099999999999997E-4</v>
      </c>
      <c r="R20">
        <v>3.4400000000000001E-4</v>
      </c>
      <c r="S20">
        <v>3.4400000000000001E-4</v>
      </c>
    </row>
    <row r="21" spans="2:19" x14ac:dyDescent="0.15">
      <c r="B21">
        <v>50</v>
      </c>
      <c r="C21">
        <f t="shared" si="1"/>
        <v>35.360678925035366</v>
      </c>
      <c r="D21">
        <v>4.7799999999999996E-4</v>
      </c>
      <c r="E21">
        <v>4.6999999999999999E-4</v>
      </c>
      <c r="F21">
        <v>4.6400000000000006E-4</v>
      </c>
      <c r="G21">
        <v>4.5800000000000002E-4</v>
      </c>
      <c r="H21">
        <v>4.5200000000000004E-4</v>
      </c>
      <c r="I21">
        <v>4.4200000000000001E-4</v>
      </c>
      <c r="J21">
        <v>4.3200000000000004E-4</v>
      </c>
      <c r="K21">
        <v>4.2200000000000001E-4</v>
      </c>
      <c r="L21">
        <v>4.1199999999999999E-4</v>
      </c>
      <c r="M21">
        <v>4.0200000000000001E-4</v>
      </c>
      <c r="N21">
        <v>3.9400000000000004E-4</v>
      </c>
      <c r="O21">
        <v>3.86E-4</v>
      </c>
      <c r="P21">
        <v>3.7999999999999997E-4</v>
      </c>
      <c r="Q21">
        <v>3.7199999999999999E-4</v>
      </c>
      <c r="R21">
        <v>3.6600000000000001E-4</v>
      </c>
      <c r="S21">
        <v>3.6600000000000001E-4</v>
      </c>
    </row>
    <row r="22" spans="2:19" x14ac:dyDescent="0.15">
      <c r="B22">
        <v>100</v>
      </c>
      <c r="C22">
        <f t="shared" si="1"/>
        <v>70.721357850070731</v>
      </c>
      <c r="D22">
        <v>4.7399999999999997E-4</v>
      </c>
      <c r="E22">
        <v>4.55E-4</v>
      </c>
      <c r="F22">
        <v>4.5800000000000002E-4</v>
      </c>
      <c r="G22">
        <v>4.4900000000000002E-4</v>
      </c>
      <c r="H22">
        <v>4.3999999999999996E-4</v>
      </c>
      <c r="I22">
        <v>4.3100000000000001E-4</v>
      </c>
      <c r="J22">
        <v>4.2200000000000001E-4</v>
      </c>
      <c r="K22">
        <v>4.1199999999999999E-4</v>
      </c>
      <c r="L22">
        <v>4.0200000000000001E-4</v>
      </c>
      <c r="M22">
        <v>3.9199999999999999E-4</v>
      </c>
      <c r="N22">
        <v>3.8299999999999999E-4</v>
      </c>
      <c r="O22">
        <v>3.7500000000000001E-4</v>
      </c>
      <c r="P22">
        <v>3.6699999999999998E-4</v>
      </c>
      <c r="Q22">
        <v>3.59E-4</v>
      </c>
      <c r="R22">
        <v>3.5299999999999996E-4</v>
      </c>
      <c r="S22">
        <v>3.5299999999999996E-4</v>
      </c>
    </row>
    <row r="23" spans="2:19" x14ac:dyDescent="0.15">
      <c r="B23">
        <v>150</v>
      </c>
      <c r="C23">
        <f t="shared" si="1"/>
        <v>106.08203677510609</v>
      </c>
      <c r="D23">
        <v>4.6133333333333334E-4</v>
      </c>
      <c r="E23">
        <v>4.5466666666666675E-4</v>
      </c>
      <c r="F23">
        <v>4.46E-4</v>
      </c>
      <c r="G23">
        <v>4.3666666666666669E-4</v>
      </c>
      <c r="H23">
        <v>4.2733333333333338E-4</v>
      </c>
      <c r="I23">
        <v>4.1866666666666663E-4</v>
      </c>
      <c r="J23">
        <v>4.0999999999999999E-4</v>
      </c>
      <c r="K23">
        <v>4.0133333333333329E-4</v>
      </c>
      <c r="L23">
        <v>3.9199999999999999E-4</v>
      </c>
      <c r="M23">
        <v>3.8333333333333329E-4</v>
      </c>
      <c r="N23">
        <v>3.746666666666667E-4</v>
      </c>
      <c r="O23">
        <v>3.6666666666666672E-4</v>
      </c>
      <c r="P23">
        <v>3.5866666666666669E-4</v>
      </c>
      <c r="Q23">
        <v>3.5133333333333338E-4</v>
      </c>
      <c r="R23">
        <v>3.4400000000000001E-4</v>
      </c>
      <c r="S23">
        <v>3.4400000000000001E-4</v>
      </c>
    </row>
    <row r="24" spans="2:19" x14ac:dyDescent="0.15">
      <c r="B24">
        <v>200</v>
      </c>
      <c r="C24">
        <f t="shared" si="1"/>
        <v>141.44271570014146</v>
      </c>
      <c r="D24">
        <v>4.305E-4</v>
      </c>
      <c r="E24">
        <v>4.2850000000000001E-4</v>
      </c>
      <c r="F24">
        <v>4.2400000000000001E-4</v>
      </c>
      <c r="G24">
        <v>4.1749999999999996E-4</v>
      </c>
      <c r="H24">
        <v>4.0999999999999994E-4</v>
      </c>
      <c r="I24">
        <v>4.0250000000000003E-4</v>
      </c>
      <c r="J24">
        <v>3.9449999999999999E-4</v>
      </c>
      <c r="K24">
        <v>3.8650000000000002E-4</v>
      </c>
      <c r="L24">
        <v>3.7850000000000004E-4</v>
      </c>
      <c r="M24">
        <v>3.7100000000000002E-4</v>
      </c>
      <c r="N24">
        <v>3.6299999999999999E-4</v>
      </c>
      <c r="O24">
        <v>3.5549999999999997E-4</v>
      </c>
      <c r="P24">
        <v>3.48E-4</v>
      </c>
      <c r="Q24">
        <v>3.4050000000000004E-4</v>
      </c>
      <c r="R24">
        <v>3.3350000000000003E-4</v>
      </c>
      <c r="S24">
        <v>3.3350000000000003E-4</v>
      </c>
    </row>
    <row r="25" spans="2:19" x14ac:dyDescent="0.15">
      <c r="B25">
        <v>250</v>
      </c>
      <c r="C25">
        <f t="shared" si="1"/>
        <v>176.80339462517682</v>
      </c>
      <c r="D25">
        <v>3.9039999999999995E-4</v>
      </c>
      <c r="E25">
        <v>3.9079999999999996E-4</v>
      </c>
      <c r="F25">
        <v>3.8959999999999998E-4</v>
      </c>
      <c r="G25">
        <v>3.8719999999999998E-4</v>
      </c>
      <c r="H25">
        <v>3.8319999999999999E-4</v>
      </c>
      <c r="I25">
        <v>3.7839999999999998E-4</v>
      </c>
      <c r="J25">
        <v>3.7280000000000001E-4</v>
      </c>
      <c r="K25">
        <v>3.6680000000000003E-4</v>
      </c>
      <c r="L25">
        <v>3.6039999999999998E-4</v>
      </c>
      <c r="M25">
        <v>3.5360000000000003E-4</v>
      </c>
      <c r="N25">
        <v>3.4679999999999997E-4</v>
      </c>
      <c r="O25">
        <v>3.3999999999999997E-4</v>
      </c>
      <c r="P25">
        <v>3.3360000000000003E-4</v>
      </c>
      <c r="Q25">
        <v>3.2679999999999997E-4</v>
      </c>
      <c r="R25">
        <v>3.2040000000000004E-4</v>
      </c>
      <c r="S25">
        <v>3.2040000000000004E-4</v>
      </c>
    </row>
    <row r="26" spans="2:19" x14ac:dyDescent="0.15">
      <c r="B26">
        <v>300</v>
      </c>
      <c r="C26">
        <f t="shared" si="1"/>
        <v>212.16407355021218</v>
      </c>
      <c r="D26">
        <v>3.5333333333333337E-4</v>
      </c>
      <c r="E26">
        <v>3.5333333333333337E-4</v>
      </c>
      <c r="F26">
        <v>3.5333333333333337E-4</v>
      </c>
      <c r="G26">
        <v>3.5333333333333337E-4</v>
      </c>
      <c r="H26">
        <v>3.5000000000000005E-4</v>
      </c>
      <c r="I26">
        <v>3.5000000000000005E-4</v>
      </c>
      <c r="J26">
        <v>3.4666666666666667E-4</v>
      </c>
      <c r="K26">
        <v>3.4000000000000002E-4</v>
      </c>
      <c r="L26">
        <v>3.366666666666667E-4</v>
      </c>
      <c r="M26">
        <v>3.323333333333333E-4</v>
      </c>
      <c r="N26">
        <v>3.2733333333333334E-4</v>
      </c>
      <c r="O26">
        <v>3.2199999999999997E-4</v>
      </c>
      <c r="P26">
        <v>3.1633333333333334E-4</v>
      </c>
      <c r="Q26">
        <v>3.1066666666666666E-4</v>
      </c>
      <c r="R26">
        <v>3.0499999999999999E-4</v>
      </c>
      <c r="S26">
        <v>3.0499999999999999E-4</v>
      </c>
    </row>
    <row r="27" spans="2:19" x14ac:dyDescent="0.15">
      <c r="B27">
        <v>350</v>
      </c>
      <c r="C27">
        <f t="shared" si="1"/>
        <v>247.52475247524754</v>
      </c>
      <c r="D27">
        <v>3.2000000000000003E-4</v>
      </c>
      <c r="E27">
        <v>3.2000000000000003E-4</v>
      </c>
      <c r="F27">
        <v>3.2000000000000003E-4</v>
      </c>
      <c r="G27">
        <v>3.2000000000000003E-4</v>
      </c>
      <c r="H27">
        <v>3.2000000000000003E-4</v>
      </c>
      <c r="I27">
        <v>3.2000000000000003E-4</v>
      </c>
      <c r="J27">
        <v>3.171428571428572E-4</v>
      </c>
      <c r="K27">
        <v>3.1428571428571432E-4</v>
      </c>
      <c r="L27">
        <v>3.1428571428571432E-4</v>
      </c>
      <c r="M27">
        <v>3.0857142857142861E-4</v>
      </c>
      <c r="N27">
        <v>3.0571428571428573E-4</v>
      </c>
      <c r="O27">
        <v>3.0285714285714291E-4</v>
      </c>
      <c r="P27">
        <v>2.9714285714285715E-4</v>
      </c>
      <c r="Q27">
        <v>2.9428571428571432E-4</v>
      </c>
      <c r="R27">
        <v>2.8857142857142862E-4</v>
      </c>
      <c r="S27">
        <v>2.8857142857142862E-4</v>
      </c>
    </row>
    <row r="28" spans="2:19" x14ac:dyDescent="0.15">
      <c r="B28">
        <v>400</v>
      </c>
      <c r="C28">
        <f t="shared" si="1"/>
        <v>282.88543140028293</v>
      </c>
      <c r="D28">
        <v>2.9E-4</v>
      </c>
      <c r="E28">
        <v>2.9250000000000001E-4</v>
      </c>
      <c r="F28">
        <v>2.9250000000000001E-4</v>
      </c>
      <c r="G28">
        <v>2.9250000000000001E-4</v>
      </c>
      <c r="H28">
        <v>2.9250000000000001E-4</v>
      </c>
      <c r="I28">
        <v>2.9250000000000001E-4</v>
      </c>
      <c r="J28">
        <v>2.9250000000000001E-4</v>
      </c>
      <c r="K28">
        <v>2.9250000000000001E-4</v>
      </c>
      <c r="L28">
        <v>2.9E-4</v>
      </c>
      <c r="M28">
        <v>2.875E-4</v>
      </c>
      <c r="N28">
        <v>2.8499999999999999E-4</v>
      </c>
      <c r="O28">
        <v>2.8249999999999998E-4</v>
      </c>
      <c r="P28">
        <v>2.8000000000000003E-4</v>
      </c>
      <c r="Q28">
        <v>2.7500000000000002E-4</v>
      </c>
      <c r="R28">
        <v>2.7250000000000001E-4</v>
      </c>
      <c r="S28">
        <v>2.7250000000000001E-4</v>
      </c>
    </row>
    <row r="29" spans="2:19" x14ac:dyDescent="0.15">
      <c r="B29">
        <v>450</v>
      </c>
      <c r="C29">
        <f t="shared" si="1"/>
        <v>318.24611032531828</v>
      </c>
      <c r="D29">
        <v>2.6666666666666668E-4</v>
      </c>
      <c r="E29">
        <v>2.6888888888888888E-4</v>
      </c>
      <c r="F29">
        <v>2.6888888888888888E-4</v>
      </c>
      <c r="G29">
        <v>2.7111111111111113E-4</v>
      </c>
      <c r="H29">
        <v>2.7111111111111113E-4</v>
      </c>
      <c r="I29">
        <v>2.7111111111111113E-4</v>
      </c>
      <c r="J29">
        <v>2.7111111111111113E-4</v>
      </c>
      <c r="K29">
        <v>2.6888888888888888E-4</v>
      </c>
      <c r="L29">
        <v>2.6888888888888888E-4</v>
      </c>
      <c r="M29">
        <v>2.6666666666666668E-4</v>
      </c>
      <c r="N29">
        <v>2.6666666666666668E-4</v>
      </c>
      <c r="O29">
        <v>2.6444444444444443E-4</v>
      </c>
      <c r="P29">
        <v>2.6222222222222223E-4</v>
      </c>
      <c r="Q29">
        <v>2.5999999999999998E-4</v>
      </c>
      <c r="R29">
        <v>2.5777777777777778E-4</v>
      </c>
      <c r="S29">
        <v>2.5777777777777778E-4</v>
      </c>
    </row>
    <row r="30" spans="2:19" x14ac:dyDescent="0.15">
      <c r="B30">
        <v>500</v>
      </c>
      <c r="C30">
        <f t="shared" si="1"/>
        <v>353.60678925035364</v>
      </c>
      <c r="D30">
        <v>2.4600000000000002E-4</v>
      </c>
      <c r="E30">
        <v>2.4800000000000001E-4</v>
      </c>
      <c r="F30">
        <v>2.4800000000000001E-4</v>
      </c>
      <c r="G30">
        <v>2.5000000000000001E-4</v>
      </c>
      <c r="H30">
        <v>2.5000000000000001E-4</v>
      </c>
      <c r="I30">
        <v>2.52E-4</v>
      </c>
      <c r="J30">
        <v>2.52E-4</v>
      </c>
      <c r="K30">
        <v>2.52E-4</v>
      </c>
      <c r="L30">
        <v>2.5000000000000001E-4</v>
      </c>
      <c r="M30">
        <v>2.5000000000000001E-4</v>
      </c>
      <c r="N30">
        <v>2.4800000000000001E-4</v>
      </c>
      <c r="O30">
        <v>2.4800000000000001E-4</v>
      </c>
      <c r="P30">
        <v>2.4600000000000002E-4</v>
      </c>
      <c r="Q30">
        <v>2.4399999999999999E-4</v>
      </c>
      <c r="R30">
        <v>2.42E-4</v>
      </c>
      <c r="S30">
        <v>2.42E-4</v>
      </c>
    </row>
    <row r="31" spans="2:19" x14ac:dyDescent="0.15">
      <c r="B31">
        <v>550</v>
      </c>
      <c r="C31">
        <f t="shared" si="1"/>
        <v>388.967468175389</v>
      </c>
      <c r="D31">
        <v>2.290909090909091E-4</v>
      </c>
      <c r="E31">
        <v>2.290909090909091E-4</v>
      </c>
      <c r="F31">
        <v>2.3090909090909092E-4</v>
      </c>
      <c r="G31">
        <v>2.3272727272727274E-4</v>
      </c>
      <c r="H31">
        <v>2.3272727272727274E-4</v>
      </c>
      <c r="I31">
        <v>2.3454545454545456E-4</v>
      </c>
      <c r="J31">
        <v>2.3454545454545456E-4</v>
      </c>
      <c r="K31">
        <v>2.3454545454545456E-4</v>
      </c>
      <c r="L31">
        <v>2.3454545454545456E-4</v>
      </c>
      <c r="M31">
        <v>2.3454545454545456E-4</v>
      </c>
      <c r="N31">
        <v>2.3272727272727274E-4</v>
      </c>
      <c r="O31">
        <v>2.3272727272727274E-4</v>
      </c>
      <c r="P31">
        <v>2.3090909090909092E-4</v>
      </c>
      <c r="Q31">
        <v>2.290909090909091E-4</v>
      </c>
      <c r="R31">
        <v>2.2727272727272727E-4</v>
      </c>
      <c r="S31">
        <v>2.2727272727272727E-4</v>
      </c>
    </row>
    <row r="32" spans="2:19" x14ac:dyDescent="0.15">
      <c r="B32">
        <v>600</v>
      </c>
      <c r="C32">
        <f t="shared" si="1"/>
        <v>424.32814710042436</v>
      </c>
      <c r="D32">
        <v>2.1333333333333333E-4</v>
      </c>
      <c r="E32">
        <v>2.1499999999999999E-4</v>
      </c>
      <c r="F32">
        <v>2.1666666666666668E-4</v>
      </c>
      <c r="G32">
        <v>2.1666666666666668E-4</v>
      </c>
      <c r="H32">
        <v>2.1833333333333335E-4</v>
      </c>
      <c r="I32">
        <v>2.1833333333333335E-4</v>
      </c>
      <c r="J32">
        <v>2.1833333333333335E-4</v>
      </c>
      <c r="K32">
        <v>2.2000000000000001E-4</v>
      </c>
      <c r="L32">
        <v>2.2000000000000001E-4</v>
      </c>
      <c r="M32">
        <v>2.2000000000000001E-4</v>
      </c>
      <c r="N32">
        <v>2.1833333333333335E-4</v>
      </c>
      <c r="O32">
        <v>2.1833333333333335E-4</v>
      </c>
      <c r="P32">
        <v>2.1666666666666668E-4</v>
      </c>
      <c r="Q32">
        <v>2.1666666666666668E-4</v>
      </c>
      <c r="R32">
        <v>2.1499999999999999E-4</v>
      </c>
      <c r="S32">
        <v>2.1499999999999999E-4</v>
      </c>
    </row>
    <row r="33" spans="2:19" x14ac:dyDescent="0.15">
      <c r="B33">
        <v>650</v>
      </c>
      <c r="C33">
        <f t="shared" si="1"/>
        <v>459.68882602545972</v>
      </c>
      <c r="D33">
        <v>2.0000000000000001E-4</v>
      </c>
      <c r="E33">
        <v>2.0153846153846155E-4</v>
      </c>
      <c r="F33">
        <v>2.0307692307692309E-4</v>
      </c>
      <c r="G33">
        <v>2.0307692307692309E-4</v>
      </c>
      <c r="H33">
        <v>2.0461538461538463E-4</v>
      </c>
      <c r="I33">
        <v>2.0461538461538463E-4</v>
      </c>
      <c r="J33">
        <v>2.0615384615384617E-4</v>
      </c>
      <c r="K33">
        <v>2.0615384615384617E-4</v>
      </c>
      <c r="L33">
        <v>2.0615384615384617E-4</v>
      </c>
      <c r="M33">
        <v>2.0615384615384617E-4</v>
      </c>
      <c r="N33">
        <v>2.0615384615384617E-4</v>
      </c>
      <c r="O33">
        <v>2.0615384615384617E-4</v>
      </c>
      <c r="P33">
        <v>2.0461538461538463E-4</v>
      </c>
      <c r="Q33">
        <v>2.0461538461538463E-4</v>
      </c>
      <c r="R33">
        <v>2.0307692307692309E-4</v>
      </c>
      <c r="S33">
        <v>2.0307692307692309E-4</v>
      </c>
    </row>
    <row r="34" spans="2:19" x14ac:dyDescent="0.15">
      <c r="B34">
        <v>700</v>
      </c>
      <c r="C34">
        <f t="shared" si="1"/>
        <v>495.04950495049508</v>
      </c>
      <c r="D34">
        <v>1.8857142857142857E-4</v>
      </c>
      <c r="E34">
        <v>1.9000000000000001E-4</v>
      </c>
      <c r="F34">
        <v>1.9000000000000001E-4</v>
      </c>
      <c r="G34">
        <v>1.9142857142857145E-4</v>
      </c>
      <c r="H34">
        <v>1.9285714285714286E-4</v>
      </c>
      <c r="I34">
        <v>1.9285714285714286E-4</v>
      </c>
      <c r="J34">
        <v>1.942857142857143E-4</v>
      </c>
      <c r="K34">
        <v>1.942857142857143E-4</v>
      </c>
      <c r="L34">
        <v>1.942857142857143E-4</v>
      </c>
      <c r="M34">
        <v>1.942857142857143E-4</v>
      </c>
      <c r="N34">
        <v>1.942857142857143E-4</v>
      </c>
      <c r="O34">
        <v>1.942857142857143E-4</v>
      </c>
      <c r="P34">
        <v>1.942857142857143E-4</v>
      </c>
      <c r="Q34">
        <v>1.9285714285714286E-4</v>
      </c>
      <c r="R34">
        <v>1.9285714285714286E-4</v>
      </c>
      <c r="S34">
        <v>1.9285714285714286E-4</v>
      </c>
    </row>
    <row r="35" spans="2:19" x14ac:dyDescent="0.15">
      <c r="B35">
        <v>750</v>
      </c>
      <c r="C35">
        <f t="shared" si="1"/>
        <v>530.41018387553049</v>
      </c>
      <c r="D35">
        <v>1.8857142857142857E-4</v>
      </c>
      <c r="E35">
        <v>1.9000000000000001E-4</v>
      </c>
      <c r="F35">
        <v>1.9000000000000001E-4</v>
      </c>
      <c r="G35">
        <v>1.9142857142857145E-4</v>
      </c>
      <c r="H35">
        <v>1.9285714285714286E-4</v>
      </c>
      <c r="I35">
        <v>1.9285714285714286E-4</v>
      </c>
      <c r="J35">
        <v>1.942857142857143E-4</v>
      </c>
      <c r="K35">
        <v>1.942857142857143E-4</v>
      </c>
      <c r="L35">
        <v>1.942857142857143E-4</v>
      </c>
      <c r="M35">
        <v>1.942857142857143E-4</v>
      </c>
      <c r="N35">
        <v>1.942857142857143E-4</v>
      </c>
      <c r="O35">
        <v>1.942857142857143E-4</v>
      </c>
      <c r="P35">
        <v>1.942857142857143E-4</v>
      </c>
      <c r="Q35">
        <v>1.9285714285714286E-4</v>
      </c>
      <c r="R35">
        <v>1.9285714285714286E-4</v>
      </c>
      <c r="S35">
        <v>1.9285714285714286E-4</v>
      </c>
    </row>
    <row r="37" spans="2:19" x14ac:dyDescent="0.15">
      <c r="D37">
        <v>0</v>
      </c>
      <c r="E37">
        <v>35.360678925035366</v>
      </c>
      <c r="F37">
        <v>70.721357850070731</v>
      </c>
      <c r="G37">
        <v>106.08203677510609</v>
      </c>
      <c r="H37">
        <v>141.44271570014146</v>
      </c>
      <c r="I37">
        <v>176.80339462517682</v>
      </c>
      <c r="J37">
        <v>212.16407355021218</v>
      </c>
      <c r="K37">
        <v>247.52475247524754</v>
      </c>
      <c r="L37">
        <v>282.88543140028293</v>
      </c>
      <c r="M37">
        <v>318.24611032531828</v>
      </c>
      <c r="N37">
        <v>353.60678925035364</v>
      </c>
      <c r="O37">
        <v>388.967468175389</v>
      </c>
      <c r="P37">
        <v>424.32814710042436</v>
      </c>
      <c r="Q37">
        <v>459.68882602545972</v>
      </c>
      <c r="R37">
        <v>495.04950495049508</v>
      </c>
      <c r="S37">
        <v>530.41018387553049</v>
      </c>
    </row>
    <row r="38" spans="2:19" x14ac:dyDescent="0.15">
      <c r="C38">
        <v>-530.41018387553049</v>
      </c>
      <c r="D38">
        <f>D5/0.000478</f>
        <v>0.39450089659294679</v>
      </c>
      <c r="E38">
        <f t="shared" ref="E38:S38" si="2">E5/0.000478</f>
        <v>0.39748953974895396</v>
      </c>
      <c r="F38">
        <f t="shared" si="2"/>
        <v>0.39748953974895396</v>
      </c>
      <c r="G38">
        <f t="shared" si="2"/>
        <v>0.40047818290496118</v>
      </c>
      <c r="H38">
        <f t="shared" si="2"/>
        <v>0.40346682606096834</v>
      </c>
      <c r="I38">
        <f t="shared" si="2"/>
        <v>0.40346682606096834</v>
      </c>
      <c r="J38">
        <f t="shared" si="2"/>
        <v>0.40346682606096834</v>
      </c>
      <c r="K38">
        <f t="shared" si="2"/>
        <v>0.40645546921697551</v>
      </c>
      <c r="L38">
        <f t="shared" si="2"/>
        <v>0.40645546921697551</v>
      </c>
      <c r="M38">
        <f t="shared" si="2"/>
        <v>0.40645546921697551</v>
      </c>
      <c r="N38">
        <f t="shared" si="2"/>
        <v>0.40346682606096834</v>
      </c>
      <c r="O38">
        <f t="shared" si="2"/>
        <v>0.40346682606096834</v>
      </c>
      <c r="P38">
        <f t="shared" si="2"/>
        <v>0.40346682606096834</v>
      </c>
      <c r="Q38">
        <f t="shared" si="2"/>
        <v>0.40047818290496118</v>
      </c>
      <c r="R38">
        <f t="shared" si="2"/>
        <v>0.40047818290496118</v>
      </c>
      <c r="S38">
        <f t="shared" si="2"/>
        <v>0.40047818290496118</v>
      </c>
    </row>
    <row r="39" spans="2:19" x14ac:dyDescent="0.15">
      <c r="C39">
        <v>-495.04950495049508</v>
      </c>
      <c r="D39">
        <f t="shared" ref="D39:S39" si="3">D6/0.000478</f>
        <v>0.39450089659294679</v>
      </c>
      <c r="E39">
        <f t="shared" si="3"/>
        <v>0.39748953974895396</v>
      </c>
      <c r="F39">
        <f t="shared" si="3"/>
        <v>0.39748953974895396</v>
      </c>
      <c r="G39">
        <f t="shared" si="3"/>
        <v>0.40047818290496118</v>
      </c>
      <c r="H39">
        <f t="shared" si="3"/>
        <v>0.40346682606096834</v>
      </c>
      <c r="I39">
        <f t="shared" si="3"/>
        <v>0.40346682606096834</v>
      </c>
      <c r="J39">
        <f t="shared" si="3"/>
        <v>0.40346682606096834</v>
      </c>
      <c r="K39">
        <f t="shared" si="3"/>
        <v>0.40645546921697551</v>
      </c>
      <c r="L39">
        <f t="shared" si="3"/>
        <v>0.40645546921697551</v>
      </c>
      <c r="M39">
        <f t="shared" si="3"/>
        <v>0.40645546921697551</v>
      </c>
      <c r="N39">
        <f t="shared" si="3"/>
        <v>0.40346682606096834</v>
      </c>
      <c r="O39">
        <f t="shared" si="3"/>
        <v>0.40346682606096834</v>
      </c>
      <c r="P39">
        <f t="shared" si="3"/>
        <v>0.40346682606096834</v>
      </c>
      <c r="Q39">
        <f t="shared" si="3"/>
        <v>0.40047818290496118</v>
      </c>
      <c r="R39">
        <f t="shared" si="3"/>
        <v>0.40047818290496118</v>
      </c>
      <c r="S39">
        <f t="shared" si="3"/>
        <v>0.40047818290496118</v>
      </c>
    </row>
    <row r="40" spans="2:19" x14ac:dyDescent="0.15">
      <c r="C40">
        <v>-459.68882602545972</v>
      </c>
      <c r="D40">
        <f t="shared" ref="D40:S40" si="4">D7/0.000478</f>
        <v>0.41841004184100417</v>
      </c>
      <c r="E40">
        <f t="shared" si="4"/>
        <v>0.42162858062439651</v>
      </c>
      <c r="F40">
        <f t="shared" si="4"/>
        <v>0.42484711940778885</v>
      </c>
      <c r="G40">
        <f t="shared" si="4"/>
        <v>0.42484711940778885</v>
      </c>
      <c r="H40">
        <f t="shared" si="4"/>
        <v>0.4280656581911812</v>
      </c>
      <c r="I40">
        <f t="shared" si="4"/>
        <v>0.4280656581911812</v>
      </c>
      <c r="J40">
        <f t="shared" si="4"/>
        <v>0.4280656581911812</v>
      </c>
      <c r="K40">
        <f t="shared" si="4"/>
        <v>0.4280656581911812</v>
      </c>
      <c r="L40">
        <f t="shared" si="4"/>
        <v>0.43128419697457354</v>
      </c>
      <c r="M40">
        <f t="shared" si="4"/>
        <v>0.4280656581911812</v>
      </c>
      <c r="N40">
        <f t="shared" si="4"/>
        <v>0.4280656581911812</v>
      </c>
      <c r="O40">
        <f t="shared" si="4"/>
        <v>0.4280656581911812</v>
      </c>
      <c r="P40">
        <f t="shared" si="4"/>
        <v>0.42484711940778885</v>
      </c>
      <c r="Q40">
        <f t="shared" si="4"/>
        <v>0.42484711940778885</v>
      </c>
      <c r="R40">
        <f t="shared" si="4"/>
        <v>0.42162858062439651</v>
      </c>
      <c r="S40">
        <f t="shared" si="4"/>
        <v>0.42162858062439651</v>
      </c>
    </row>
    <row r="41" spans="2:19" x14ac:dyDescent="0.15">
      <c r="C41">
        <v>-424.32814710042436</v>
      </c>
      <c r="D41">
        <f t="shared" ref="D41:S41" si="5">D8/0.000478</f>
        <v>0.44630404463040446</v>
      </c>
      <c r="E41">
        <f t="shared" si="5"/>
        <v>0.44979079497907948</v>
      </c>
      <c r="F41">
        <f t="shared" si="5"/>
        <v>0.45327754532775455</v>
      </c>
      <c r="G41">
        <f t="shared" si="5"/>
        <v>0.45327754532775455</v>
      </c>
      <c r="H41">
        <f t="shared" si="5"/>
        <v>0.45676429567642957</v>
      </c>
      <c r="I41">
        <f t="shared" si="5"/>
        <v>0.45676429567642957</v>
      </c>
      <c r="J41">
        <f t="shared" si="5"/>
        <v>0.45676429567642957</v>
      </c>
      <c r="K41">
        <f t="shared" si="5"/>
        <v>0.45676429567642957</v>
      </c>
      <c r="L41">
        <f t="shared" si="5"/>
        <v>0.45676429567642957</v>
      </c>
      <c r="M41">
        <f t="shared" si="5"/>
        <v>0.45676429567642957</v>
      </c>
      <c r="N41">
        <f t="shared" si="5"/>
        <v>0.45327754532775455</v>
      </c>
      <c r="O41">
        <f t="shared" si="5"/>
        <v>0.45327754532775455</v>
      </c>
      <c r="P41">
        <f t="shared" si="5"/>
        <v>0.44979079497907948</v>
      </c>
      <c r="Q41">
        <f t="shared" si="5"/>
        <v>0.44979079497907948</v>
      </c>
      <c r="R41">
        <f t="shared" si="5"/>
        <v>0.44630404463040446</v>
      </c>
      <c r="S41">
        <f t="shared" si="5"/>
        <v>0.44630404463040446</v>
      </c>
    </row>
    <row r="42" spans="2:19" x14ac:dyDescent="0.15">
      <c r="C42">
        <v>-388.967468175389</v>
      </c>
      <c r="D42">
        <f t="shared" ref="D42:S42" si="6">D9/0.000478</f>
        <v>0.47926968429060479</v>
      </c>
      <c r="E42">
        <f t="shared" si="6"/>
        <v>0.48307341194370484</v>
      </c>
      <c r="F42">
        <f t="shared" si="6"/>
        <v>0.48307341194370484</v>
      </c>
      <c r="G42">
        <f t="shared" si="6"/>
        <v>0.4868771395968049</v>
      </c>
      <c r="H42">
        <f t="shared" si="6"/>
        <v>0.4868771395968049</v>
      </c>
      <c r="I42">
        <f t="shared" si="6"/>
        <v>0.4868771395968049</v>
      </c>
      <c r="J42">
        <f t="shared" si="6"/>
        <v>0.4868771395968049</v>
      </c>
      <c r="K42">
        <f t="shared" si="6"/>
        <v>0.4868771395968049</v>
      </c>
      <c r="L42">
        <f t="shared" si="6"/>
        <v>0.4868771395968049</v>
      </c>
      <c r="M42">
        <f t="shared" si="6"/>
        <v>0.4868771395968049</v>
      </c>
      <c r="N42">
        <f t="shared" si="6"/>
        <v>0.48307341194370484</v>
      </c>
      <c r="O42">
        <f t="shared" si="6"/>
        <v>0.48307341194370484</v>
      </c>
      <c r="P42">
        <f t="shared" si="6"/>
        <v>0.47926968429060479</v>
      </c>
      <c r="Q42">
        <f t="shared" si="6"/>
        <v>0.47546595663750474</v>
      </c>
      <c r="R42">
        <f t="shared" si="6"/>
        <v>0.47166222898440469</v>
      </c>
      <c r="S42">
        <f t="shared" si="6"/>
        <v>0.47166222898440469</v>
      </c>
    </row>
    <row r="43" spans="2:19" x14ac:dyDescent="0.15">
      <c r="C43">
        <v>-353.60678925035364</v>
      </c>
      <c r="D43">
        <f t="shared" ref="D43:S43" si="7">D10/0.000478</f>
        <v>0.51464435146443521</v>
      </c>
      <c r="E43">
        <f t="shared" si="7"/>
        <v>0.51882845188284521</v>
      </c>
      <c r="F43">
        <f t="shared" si="7"/>
        <v>0.51882845188284521</v>
      </c>
      <c r="G43">
        <f t="shared" si="7"/>
        <v>0.52301255230125521</v>
      </c>
      <c r="H43">
        <f t="shared" si="7"/>
        <v>0.52301255230125521</v>
      </c>
      <c r="I43">
        <f t="shared" si="7"/>
        <v>0.52301255230125521</v>
      </c>
      <c r="J43">
        <f t="shared" si="7"/>
        <v>0.52301255230125521</v>
      </c>
      <c r="K43">
        <f t="shared" si="7"/>
        <v>0.52301255230125521</v>
      </c>
      <c r="L43">
        <f t="shared" si="7"/>
        <v>0.52301255230125521</v>
      </c>
      <c r="M43">
        <f t="shared" si="7"/>
        <v>0.51882845188284521</v>
      </c>
      <c r="N43">
        <f t="shared" si="7"/>
        <v>0.51464435146443521</v>
      </c>
      <c r="O43">
        <f t="shared" si="7"/>
        <v>0.51464435146443521</v>
      </c>
      <c r="P43">
        <f t="shared" si="7"/>
        <v>0.5104602510460251</v>
      </c>
      <c r="Q43">
        <f t="shared" si="7"/>
        <v>0.506276150627615</v>
      </c>
      <c r="R43">
        <f t="shared" si="7"/>
        <v>0.49790794979079495</v>
      </c>
      <c r="S43">
        <f t="shared" si="7"/>
        <v>0.49790794979079495</v>
      </c>
    </row>
    <row r="44" spans="2:19" x14ac:dyDescent="0.15">
      <c r="C44">
        <v>-318.24611032531828</v>
      </c>
      <c r="D44">
        <f t="shared" ref="D44:S44" si="8">D11/0.000478</f>
        <v>0.55788005578800559</v>
      </c>
      <c r="E44">
        <f t="shared" si="8"/>
        <v>0.56252905625290561</v>
      </c>
      <c r="F44">
        <f t="shared" si="8"/>
        <v>0.56252905625290561</v>
      </c>
      <c r="G44">
        <f t="shared" si="8"/>
        <v>0.56252905625290561</v>
      </c>
      <c r="H44">
        <f t="shared" si="8"/>
        <v>0.56252905625290561</v>
      </c>
      <c r="I44">
        <f t="shared" si="8"/>
        <v>0.56252905625290561</v>
      </c>
      <c r="J44">
        <f t="shared" si="8"/>
        <v>0.56252905625290561</v>
      </c>
      <c r="K44">
        <f t="shared" si="8"/>
        <v>0.56252905625290561</v>
      </c>
      <c r="L44">
        <f t="shared" si="8"/>
        <v>0.55788005578800559</v>
      </c>
      <c r="M44">
        <f t="shared" si="8"/>
        <v>0.55788005578800559</v>
      </c>
      <c r="N44">
        <f t="shared" si="8"/>
        <v>0.55323105532310546</v>
      </c>
      <c r="O44">
        <f t="shared" si="8"/>
        <v>0.54858205485820544</v>
      </c>
      <c r="P44">
        <f t="shared" si="8"/>
        <v>0.54393305439330542</v>
      </c>
      <c r="Q44">
        <f t="shared" si="8"/>
        <v>0.53463505346350526</v>
      </c>
      <c r="R44">
        <f t="shared" si="8"/>
        <v>0.52998605299860524</v>
      </c>
      <c r="S44">
        <f t="shared" si="8"/>
        <v>0.52998605299860524</v>
      </c>
    </row>
    <row r="45" spans="2:19" x14ac:dyDescent="0.15">
      <c r="C45">
        <v>-282.88543140028293</v>
      </c>
      <c r="D45">
        <f t="shared" ref="D45:S45" si="9">D12/0.000478</f>
        <v>0.60669456066945604</v>
      </c>
      <c r="E45">
        <f t="shared" si="9"/>
        <v>0.61192468619246865</v>
      </c>
      <c r="F45">
        <f t="shared" si="9"/>
        <v>0.61192468619246865</v>
      </c>
      <c r="G45">
        <f t="shared" si="9"/>
        <v>0.61192468619246865</v>
      </c>
      <c r="H45">
        <f t="shared" si="9"/>
        <v>0.61192468619246865</v>
      </c>
      <c r="I45">
        <f t="shared" si="9"/>
        <v>0.61192468619246865</v>
      </c>
      <c r="J45">
        <f t="shared" si="9"/>
        <v>0.60669456066945604</v>
      </c>
      <c r="K45">
        <f t="shared" si="9"/>
        <v>0.60669456066945604</v>
      </c>
      <c r="L45">
        <f t="shared" si="9"/>
        <v>0.60146443514644343</v>
      </c>
      <c r="M45">
        <f t="shared" si="9"/>
        <v>0.59623430962343094</v>
      </c>
      <c r="N45">
        <f t="shared" si="9"/>
        <v>0.59100418410041833</v>
      </c>
      <c r="O45">
        <f t="shared" si="9"/>
        <v>0.58577405857740594</v>
      </c>
      <c r="P45">
        <f t="shared" si="9"/>
        <v>0.57531380753138073</v>
      </c>
      <c r="Q45">
        <f t="shared" si="9"/>
        <v>0.57008368200836823</v>
      </c>
      <c r="R45">
        <f t="shared" si="9"/>
        <v>0.55962343096234313</v>
      </c>
      <c r="S45">
        <f t="shared" si="9"/>
        <v>0.55962343096234313</v>
      </c>
    </row>
    <row r="46" spans="2:19" x14ac:dyDescent="0.15">
      <c r="C46">
        <v>-247.52475247524754</v>
      </c>
      <c r="D46">
        <f t="shared" ref="D46:S46" si="10">D13/0.000478</f>
        <v>0.66945606694560678</v>
      </c>
      <c r="E46">
        <f t="shared" si="10"/>
        <v>0.66945606694560678</v>
      </c>
      <c r="F46">
        <f t="shared" si="10"/>
        <v>0.66945606694560678</v>
      </c>
      <c r="G46">
        <f t="shared" si="10"/>
        <v>0.66945606694560678</v>
      </c>
      <c r="H46">
        <f t="shared" si="10"/>
        <v>0.66945606694560678</v>
      </c>
      <c r="I46">
        <f t="shared" si="10"/>
        <v>0.66347878063359245</v>
      </c>
      <c r="J46">
        <f t="shared" si="10"/>
        <v>0.66347878063359245</v>
      </c>
      <c r="K46">
        <f t="shared" si="10"/>
        <v>0.65750149432157801</v>
      </c>
      <c r="L46">
        <f t="shared" si="10"/>
        <v>0.65152420800956379</v>
      </c>
      <c r="M46">
        <f t="shared" si="10"/>
        <v>0.63956963538553502</v>
      </c>
      <c r="N46">
        <f t="shared" si="10"/>
        <v>0.63359234907352069</v>
      </c>
      <c r="O46">
        <f t="shared" si="10"/>
        <v>0.62163777644949192</v>
      </c>
      <c r="P46">
        <f t="shared" si="10"/>
        <v>0.61566049013747759</v>
      </c>
      <c r="Q46">
        <f t="shared" si="10"/>
        <v>0.60370591751344893</v>
      </c>
      <c r="R46">
        <f t="shared" si="10"/>
        <v>0.59354453078302438</v>
      </c>
      <c r="S46">
        <f t="shared" si="10"/>
        <v>0.59354453078302438</v>
      </c>
    </row>
    <row r="47" spans="2:19" x14ac:dyDescent="0.15">
      <c r="C47">
        <v>-212.16407355021218</v>
      </c>
      <c r="D47">
        <f t="shared" ref="D47:S47" si="11">D14/0.000478</f>
        <v>0.73919107391910743</v>
      </c>
      <c r="E47">
        <f t="shared" si="11"/>
        <v>0.73919107391910743</v>
      </c>
      <c r="F47">
        <f t="shared" si="11"/>
        <v>0.73919107391910743</v>
      </c>
      <c r="G47">
        <f t="shared" si="11"/>
        <v>0.7322175732217574</v>
      </c>
      <c r="H47">
        <f t="shared" si="11"/>
        <v>0.7322175732217574</v>
      </c>
      <c r="I47">
        <f t="shared" si="11"/>
        <v>0.72524407252440726</v>
      </c>
      <c r="J47">
        <f t="shared" si="11"/>
        <v>0.71827057182705722</v>
      </c>
      <c r="K47">
        <f t="shared" si="11"/>
        <v>0.71129707112970719</v>
      </c>
      <c r="L47">
        <f t="shared" si="11"/>
        <v>0.69735006973500702</v>
      </c>
      <c r="M47">
        <f t="shared" si="11"/>
        <v>0.68688981868898191</v>
      </c>
      <c r="N47">
        <f t="shared" si="11"/>
        <v>0.67503486750348662</v>
      </c>
      <c r="O47">
        <f t="shared" si="11"/>
        <v>0.66317991631799156</v>
      </c>
      <c r="P47">
        <f t="shared" si="11"/>
        <v>0.65062761506276157</v>
      </c>
      <c r="Q47">
        <f t="shared" si="11"/>
        <v>0.63737796373779643</v>
      </c>
      <c r="R47">
        <f t="shared" si="11"/>
        <v>0.62482566248256621</v>
      </c>
      <c r="S47">
        <f t="shared" si="11"/>
        <v>0.62482566248256621</v>
      </c>
    </row>
    <row r="48" spans="2:19" x14ac:dyDescent="0.15">
      <c r="C48">
        <v>-176.80339462517682</v>
      </c>
      <c r="D48">
        <f t="shared" ref="D48:S48" si="12">D15/0.000478</f>
        <v>0.81673640167364003</v>
      </c>
      <c r="E48">
        <f t="shared" si="12"/>
        <v>0.81589958158995812</v>
      </c>
      <c r="F48">
        <f t="shared" si="12"/>
        <v>0.81255230125523004</v>
      </c>
      <c r="G48">
        <f t="shared" si="12"/>
        <v>0.806694560669456</v>
      </c>
      <c r="H48">
        <f t="shared" si="12"/>
        <v>0.79748953974895398</v>
      </c>
      <c r="I48">
        <f t="shared" si="12"/>
        <v>0.78577405857740579</v>
      </c>
      <c r="J48">
        <f t="shared" si="12"/>
        <v>0.77238493723849377</v>
      </c>
      <c r="K48">
        <f t="shared" si="12"/>
        <v>0.75815899581589963</v>
      </c>
      <c r="L48">
        <f t="shared" si="12"/>
        <v>0.74393305439330548</v>
      </c>
      <c r="M48">
        <f t="shared" si="12"/>
        <v>0.72887029288702931</v>
      </c>
      <c r="N48">
        <f t="shared" si="12"/>
        <v>0.71380753138075315</v>
      </c>
      <c r="O48">
        <f t="shared" si="12"/>
        <v>0.69790794979079507</v>
      </c>
      <c r="P48">
        <f t="shared" si="12"/>
        <v>0.68284518828451868</v>
      </c>
      <c r="Q48">
        <f t="shared" si="12"/>
        <v>0.66778242677824273</v>
      </c>
      <c r="R48">
        <f t="shared" si="12"/>
        <v>0.65271966527196645</v>
      </c>
      <c r="S48">
        <f t="shared" si="12"/>
        <v>0.65271966527196645</v>
      </c>
    </row>
    <row r="49" spans="3:19" x14ac:dyDescent="0.15">
      <c r="C49">
        <v>-141.44271570014146</v>
      </c>
      <c r="D49">
        <f t="shared" ref="D49:S49" si="13">D16/0.000478</f>
        <v>0.90062761506276146</v>
      </c>
      <c r="E49">
        <f t="shared" si="13"/>
        <v>0.89435146443514635</v>
      </c>
      <c r="F49">
        <f t="shared" si="13"/>
        <v>0.88284518828451886</v>
      </c>
      <c r="G49">
        <f t="shared" si="13"/>
        <v>0.86820083682008353</v>
      </c>
      <c r="H49">
        <f t="shared" si="13"/>
        <v>0.85146443514644354</v>
      </c>
      <c r="I49">
        <f t="shared" si="13"/>
        <v>0.83368200836820083</v>
      </c>
      <c r="J49">
        <f t="shared" si="13"/>
        <v>0.81589958158995812</v>
      </c>
      <c r="K49">
        <f t="shared" si="13"/>
        <v>0.79707112970711302</v>
      </c>
      <c r="L49">
        <f t="shared" si="13"/>
        <v>0.77928870292887031</v>
      </c>
      <c r="M49">
        <f t="shared" si="13"/>
        <v>0.7615062761506276</v>
      </c>
      <c r="N49">
        <f t="shared" si="13"/>
        <v>0.74372384937238489</v>
      </c>
      <c r="O49">
        <f t="shared" si="13"/>
        <v>0.72594142259414207</v>
      </c>
      <c r="P49">
        <f t="shared" si="13"/>
        <v>0.70815899581589969</v>
      </c>
      <c r="Q49">
        <f t="shared" si="13"/>
        <v>0.69142259414225937</v>
      </c>
      <c r="R49">
        <f t="shared" si="13"/>
        <v>0.67573221757322177</v>
      </c>
      <c r="S49">
        <f t="shared" si="13"/>
        <v>0.67573221757322177</v>
      </c>
    </row>
    <row r="50" spans="3:19" x14ac:dyDescent="0.15">
      <c r="C50">
        <v>-106.08203677510609</v>
      </c>
      <c r="D50">
        <f t="shared" ref="D50:S50" si="14">D17/0.000478</f>
        <v>0.96513249651324962</v>
      </c>
      <c r="E50">
        <f t="shared" si="14"/>
        <v>0.94979079497907948</v>
      </c>
      <c r="F50">
        <f t="shared" si="14"/>
        <v>0.92887029288702938</v>
      </c>
      <c r="G50">
        <f t="shared" si="14"/>
        <v>0.90794979079497906</v>
      </c>
      <c r="H50">
        <f t="shared" si="14"/>
        <v>0.88563458856345889</v>
      </c>
      <c r="I50">
        <f t="shared" si="14"/>
        <v>0.86471408647140857</v>
      </c>
      <c r="J50">
        <f t="shared" si="14"/>
        <v>0.84518828451882844</v>
      </c>
      <c r="K50">
        <f t="shared" si="14"/>
        <v>0.82426778242677823</v>
      </c>
      <c r="L50">
        <f t="shared" si="14"/>
        <v>0.80334728033472802</v>
      </c>
      <c r="M50">
        <f t="shared" si="14"/>
        <v>0.78242677824267792</v>
      </c>
      <c r="N50">
        <f t="shared" si="14"/>
        <v>0.76290097629009779</v>
      </c>
      <c r="O50">
        <f t="shared" si="14"/>
        <v>0.74198047419804747</v>
      </c>
      <c r="P50">
        <f t="shared" si="14"/>
        <v>0.72384937238493718</v>
      </c>
      <c r="Q50">
        <f t="shared" si="14"/>
        <v>0.70571827057182701</v>
      </c>
      <c r="R50">
        <f t="shared" si="14"/>
        <v>0.68898186889818691</v>
      </c>
      <c r="S50">
        <f t="shared" si="14"/>
        <v>0.68898186889818691</v>
      </c>
    </row>
    <row r="51" spans="3:19" x14ac:dyDescent="0.15">
      <c r="C51">
        <v>-70.721357850070731</v>
      </c>
      <c r="D51">
        <f t="shared" ref="D51:S51" si="15">D18/0.000478</f>
        <v>0.99163179916317978</v>
      </c>
      <c r="E51">
        <f t="shared" si="15"/>
        <v>0.97280334728033468</v>
      </c>
      <c r="F51">
        <f t="shared" si="15"/>
        <v>0.95188284518828448</v>
      </c>
      <c r="G51">
        <f t="shared" si="15"/>
        <v>0.93096234309623427</v>
      </c>
      <c r="H51">
        <f t="shared" si="15"/>
        <v>0.90794979079497906</v>
      </c>
      <c r="I51">
        <f t="shared" si="15"/>
        <v>0.88702928870292885</v>
      </c>
      <c r="J51">
        <f t="shared" si="15"/>
        <v>0.86401673640167354</v>
      </c>
      <c r="K51">
        <f t="shared" si="15"/>
        <v>0.83891213389121344</v>
      </c>
      <c r="L51">
        <f t="shared" si="15"/>
        <v>0.81589958158995812</v>
      </c>
      <c r="M51">
        <f t="shared" si="15"/>
        <v>0.72803347280334729</v>
      </c>
      <c r="N51">
        <f t="shared" si="15"/>
        <v>0.76987447698744771</v>
      </c>
      <c r="O51">
        <f t="shared" si="15"/>
        <v>0.74895397489539739</v>
      </c>
      <c r="P51">
        <f t="shared" si="15"/>
        <v>0.72803347280334729</v>
      </c>
      <c r="Q51">
        <f t="shared" si="15"/>
        <v>0.70920502092050208</v>
      </c>
      <c r="R51">
        <f t="shared" si="15"/>
        <v>0.69037656903765687</v>
      </c>
      <c r="S51">
        <f t="shared" si="15"/>
        <v>0.69037656903765687</v>
      </c>
    </row>
    <row r="52" spans="3:19" x14ac:dyDescent="0.15">
      <c r="C52">
        <v>-35.360678925035366</v>
      </c>
      <c r="D52">
        <f t="shared" ref="D52:S52" si="16">D19/0.000478</f>
        <v>0.99999999999999989</v>
      </c>
      <c r="E52">
        <f t="shared" si="16"/>
        <v>0.97907949790794979</v>
      </c>
      <c r="F52">
        <f t="shared" si="16"/>
        <v>0.95815899581589958</v>
      </c>
      <c r="G52">
        <f t="shared" si="16"/>
        <v>0.93723849372384938</v>
      </c>
      <c r="H52">
        <f t="shared" si="16"/>
        <v>0.92050209205020905</v>
      </c>
      <c r="I52">
        <f t="shared" si="16"/>
        <v>0.89539748953974896</v>
      </c>
      <c r="J52">
        <f t="shared" si="16"/>
        <v>0.86610878661087853</v>
      </c>
      <c r="K52">
        <f t="shared" si="16"/>
        <v>0.84100418410041844</v>
      </c>
      <c r="L52">
        <f t="shared" si="16"/>
        <v>0.81171548117154813</v>
      </c>
      <c r="M52">
        <f t="shared" si="16"/>
        <v>0.78661087866108792</v>
      </c>
      <c r="N52">
        <f t="shared" si="16"/>
        <v>0.7573221757322175</v>
      </c>
      <c r="O52">
        <f t="shared" si="16"/>
        <v>0.73640167364016718</v>
      </c>
      <c r="P52">
        <f t="shared" si="16"/>
        <v>0.71548117154811719</v>
      </c>
      <c r="Q52">
        <f t="shared" si="16"/>
        <v>0.69037656903765687</v>
      </c>
      <c r="R52">
        <f t="shared" si="16"/>
        <v>0.67364016736401677</v>
      </c>
      <c r="S52">
        <f t="shared" si="16"/>
        <v>0.67364016736401677</v>
      </c>
    </row>
    <row r="53" spans="3:19" x14ac:dyDescent="0.15">
      <c r="C53">
        <v>0</v>
      </c>
      <c r="D53">
        <f t="shared" ref="D53:S53" si="17">D20/0.000478</f>
        <v>0.99999999999999989</v>
      </c>
      <c r="E53">
        <f t="shared" si="17"/>
        <v>0.98117154811715479</v>
      </c>
      <c r="F53">
        <f t="shared" si="17"/>
        <v>0.96443514644351469</v>
      </c>
      <c r="G53">
        <f t="shared" si="17"/>
        <v>0.94769874476987448</v>
      </c>
      <c r="H53">
        <f t="shared" si="17"/>
        <v>0.93305439330543927</v>
      </c>
      <c r="I53">
        <f t="shared" si="17"/>
        <v>0.91004184100418406</v>
      </c>
      <c r="J53">
        <f t="shared" si="17"/>
        <v>0.88493723849372374</v>
      </c>
      <c r="K53">
        <f t="shared" si="17"/>
        <v>0.86192468619246865</v>
      </c>
      <c r="L53">
        <f t="shared" si="17"/>
        <v>0.83682008368200822</v>
      </c>
      <c r="M53">
        <f t="shared" si="17"/>
        <v>0.81380753138075312</v>
      </c>
      <c r="N53">
        <f t="shared" si="17"/>
        <v>0.79079497907949781</v>
      </c>
      <c r="O53">
        <f t="shared" si="17"/>
        <v>0.7719665271966526</v>
      </c>
      <c r="P53">
        <f t="shared" si="17"/>
        <v>0.7552301255230125</v>
      </c>
      <c r="Q53">
        <f t="shared" si="17"/>
        <v>0.73430962343096229</v>
      </c>
      <c r="R53">
        <f t="shared" si="17"/>
        <v>0.71966527196652719</v>
      </c>
      <c r="S53">
        <f t="shared" si="17"/>
        <v>0.71966527196652719</v>
      </c>
    </row>
    <row r="54" spans="3:19" x14ac:dyDescent="0.15">
      <c r="C54">
        <v>35.360678925035366</v>
      </c>
      <c r="D54">
        <f t="shared" ref="D54:S54" si="18">D21/0.000478</f>
        <v>0.99999999999999989</v>
      </c>
      <c r="E54">
        <f t="shared" si="18"/>
        <v>0.98326359832635979</v>
      </c>
      <c r="F54">
        <f t="shared" si="18"/>
        <v>0.9707112970711298</v>
      </c>
      <c r="G54">
        <f t="shared" si="18"/>
        <v>0.95815899581589958</v>
      </c>
      <c r="H54">
        <f t="shared" si="18"/>
        <v>0.94560669456066948</v>
      </c>
      <c r="I54">
        <f t="shared" si="18"/>
        <v>0.92468619246861927</v>
      </c>
      <c r="J54">
        <f t="shared" si="18"/>
        <v>0.90376569037656906</v>
      </c>
      <c r="K54">
        <f t="shared" si="18"/>
        <v>0.88284518828451886</v>
      </c>
      <c r="L54">
        <f t="shared" si="18"/>
        <v>0.86192468619246854</v>
      </c>
      <c r="M54">
        <f t="shared" si="18"/>
        <v>0.84100418410041844</v>
      </c>
      <c r="N54">
        <f t="shared" si="18"/>
        <v>0.82426778242677834</v>
      </c>
      <c r="O54">
        <f t="shared" si="18"/>
        <v>0.80753138075313802</v>
      </c>
      <c r="P54">
        <f t="shared" si="18"/>
        <v>0.7949790794979078</v>
      </c>
      <c r="Q54">
        <f t="shared" si="18"/>
        <v>0.7782426778242677</v>
      </c>
      <c r="R54">
        <f t="shared" si="18"/>
        <v>0.7656903765690376</v>
      </c>
      <c r="S54">
        <f t="shared" si="18"/>
        <v>0.7656903765690376</v>
      </c>
    </row>
    <row r="55" spans="3:19" x14ac:dyDescent="0.15">
      <c r="C55">
        <v>70.721357850070731</v>
      </c>
      <c r="D55">
        <f t="shared" ref="D55:S55" si="19">D22/0.000478</f>
        <v>0.99163179916317978</v>
      </c>
      <c r="E55">
        <f t="shared" si="19"/>
        <v>0.95188284518828448</v>
      </c>
      <c r="F55">
        <f t="shared" si="19"/>
        <v>0.95815899581589958</v>
      </c>
      <c r="G55">
        <f t="shared" si="19"/>
        <v>0.93933054393305437</v>
      </c>
      <c r="H55">
        <f t="shared" si="19"/>
        <v>0.92050209205020905</v>
      </c>
      <c r="I55">
        <f t="shared" si="19"/>
        <v>0.90167364016736407</v>
      </c>
      <c r="J55">
        <f t="shared" si="19"/>
        <v>0.88284518828451886</v>
      </c>
      <c r="K55">
        <f t="shared" si="19"/>
        <v>0.86192468619246854</v>
      </c>
      <c r="L55">
        <f t="shared" si="19"/>
        <v>0.84100418410041844</v>
      </c>
      <c r="M55">
        <f t="shared" si="19"/>
        <v>0.82008368200836812</v>
      </c>
      <c r="N55">
        <f t="shared" si="19"/>
        <v>0.80125523012552291</v>
      </c>
      <c r="O55">
        <f t="shared" si="19"/>
        <v>0.78451882845188281</v>
      </c>
      <c r="P55">
        <f t="shared" si="19"/>
        <v>0.7677824267782426</v>
      </c>
      <c r="Q55">
        <f t="shared" si="19"/>
        <v>0.7510460251046025</v>
      </c>
      <c r="R55">
        <f t="shared" si="19"/>
        <v>0.73849372384937229</v>
      </c>
      <c r="S55">
        <f t="shared" si="19"/>
        <v>0.73849372384937229</v>
      </c>
    </row>
    <row r="56" spans="3:19" x14ac:dyDescent="0.15">
      <c r="C56">
        <v>106.08203677510609</v>
      </c>
      <c r="D56">
        <f t="shared" ref="D56:S56" si="20">D23/0.000478</f>
        <v>0.96513249651324962</v>
      </c>
      <c r="E56">
        <f t="shared" si="20"/>
        <v>0.95118549511854966</v>
      </c>
      <c r="F56">
        <f t="shared" si="20"/>
        <v>0.93305439330543927</v>
      </c>
      <c r="G56">
        <f t="shared" si="20"/>
        <v>0.91352859135285913</v>
      </c>
      <c r="H56">
        <f t="shared" si="20"/>
        <v>0.894002789400279</v>
      </c>
      <c r="I56">
        <f t="shared" si="20"/>
        <v>0.87587168758716871</v>
      </c>
      <c r="J56">
        <f t="shared" si="20"/>
        <v>0.85774058577405854</v>
      </c>
      <c r="K56">
        <f t="shared" si="20"/>
        <v>0.83960948396094826</v>
      </c>
      <c r="L56">
        <f t="shared" si="20"/>
        <v>0.82008368200836812</v>
      </c>
      <c r="M56">
        <f t="shared" si="20"/>
        <v>0.80195258019525795</v>
      </c>
      <c r="N56">
        <f t="shared" si="20"/>
        <v>0.78382147838214788</v>
      </c>
      <c r="O56">
        <f t="shared" si="20"/>
        <v>0.76708507670850778</v>
      </c>
      <c r="P56">
        <f t="shared" si="20"/>
        <v>0.75034867503486757</v>
      </c>
      <c r="Q56">
        <f t="shared" si="20"/>
        <v>0.73500697350069744</v>
      </c>
      <c r="R56">
        <f t="shared" si="20"/>
        <v>0.71966527196652719</v>
      </c>
      <c r="S56">
        <f t="shared" si="20"/>
        <v>0.71966527196652719</v>
      </c>
    </row>
    <row r="57" spans="3:19" x14ac:dyDescent="0.15">
      <c r="C57">
        <v>141.44271570014146</v>
      </c>
      <c r="D57">
        <f t="shared" ref="D57:S57" si="21">D24/0.000478</f>
        <v>0.90062761506276146</v>
      </c>
      <c r="E57">
        <f t="shared" si="21"/>
        <v>0.89644351464435146</v>
      </c>
      <c r="F57">
        <f t="shared" si="21"/>
        <v>0.88702928870292885</v>
      </c>
      <c r="G57">
        <f t="shared" si="21"/>
        <v>0.87343096234309614</v>
      </c>
      <c r="H57">
        <f t="shared" si="21"/>
        <v>0.85774058577405843</v>
      </c>
      <c r="I57">
        <f t="shared" si="21"/>
        <v>0.84205020920502094</v>
      </c>
      <c r="J57">
        <f t="shared" si="21"/>
        <v>0.82531380753138073</v>
      </c>
      <c r="K57">
        <f t="shared" si="21"/>
        <v>0.80857740585774063</v>
      </c>
      <c r="L57">
        <f t="shared" si="21"/>
        <v>0.79184100418410042</v>
      </c>
      <c r="M57">
        <f t="shared" si="21"/>
        <v>0.77615062761506282</v>
      </c>
      <c r="N57">
        <f t="shared" si="21"/>
        <v>0.75941422594142249</v>
      </c>
      <c r="O57">
        <f t="shared" si="21"/>
        <v>0.74372384937238489</v>
      </c>
      <c r="P57">
        <f t="shared" si="21"/>
        <v>0.72803347280334729</v>
      </c>
      <c r="Q57">
        <f t="shared" si="21"/>
        <v>0.71234309623430969</v>
      </c>
      <c r="R57">
        <f t="shared" si="21"/>
        <v>0.69769874476987448</v>
      </c>
      <c r="S57">
        <f t="shared" si="21"/>
        <v>0.69769874476987448</v>
      </c>
    </row>
    <row r="58" spans="3:19" x14ac:dyDescent="0.15">
      <c r="C58">
        <v>176.80339462517682</v>
      </c>
      <c r="D58">
        <f t="shared" ref="D58:S58" si="22">D25/0.000478</f>
        <v>0.81673640167364003</v>
      </c>
      <c r="E58">
        <f t="shared" si="22"/>
        <v>0.81757322175732206</v>
      </c>
      <c r="F58">
        <f t="shared" si="22"/>
        <v>0.8150627615062761</v>
      </c>
      <c r="G58">
        <f t="shared" si="22"/>
        <v>0.81004184100418397</v>
      </c>
      <c r="H58">
        <f t="shared" si="22"/>
        <v>0.80167364016736398</v>
      </c>
      <c r="I58">
        <f t="shared" si="22"/>
        <v>0.79163179916317983</v>
      </c>
      <c r="J58">
        <f t="shared" si="22"/>
        <v>0.77991631799163175</v>
      </c>
      <c r="K58">
        <f t="shared" si="22"/>
        <v>0.76736401673640164</v>
      </c>
      <c r="L58">
        <f t="shared" si="22"/>
        <v>0.75397489539748952</v>
      </c>
      <c r="M58">
        <f t="shared" si="22"/>
        <v>0.73974895397489548</v>
      </c>
      <c r="N58">
        <f t="shared" si="22"/>
        <v>0.72552301255230112</v>
      </c>
      <c r="O58">
        <f t="shared" si="22"/>
        <v>0.71129707112970697</v>
      </c>
      <c r="P58">
        <f t="shared" si="22"/>
        <v>0.69790794979079507</v>
      </c>
      <c r="Q58">
        <f t="shared" si="22"/>
        <v>0.68368200836820081</v>
      </c>
      <c r="R58">
        <f t="shared" si="22"/>
        <v>0.6702928870292888</v>
      </c>
      <c r="S58">
        <f t="shared" si="22"/>
        <v>0.6702928870292888</v>
      </c>
    </row>
    <row r="59" spans="3:19" x14ac:dyDescent="0.15">
      <c r="C59">
        <v>212.16407355021218</v>
      </c>
      <c r="D59">
        <f t="shared" ref="D59:S59" si="23">D26/0.000478</f>
        <v>0.73919107391910743</v>
      </c>
      <c r="E59">
        <f t="shared" si="23"/>
        <v>0.73919107391910743</v>
      </c>
      <c r="F59">
        <f t="shared" si="23"/>
        <v>0.73919107391910743</v>
      </c>
      <c r="G59">
        <f t="shared" si="23"/>
        <v>0.73919107391910743</v>
      </c>
      <c r="H59">
        <f t="shared" si="23"/>
        <v>0.7322175732217574</v>
      </c>
      <c r="I59">
        <f t="shared" si="23"/>
        <v>0.7322175732217574</v>
      </c>
      <c r="J59">
        <f t="shared" si="23"/>
        <v>0.72524407252440726</v>
      </c>
      <c r="K59">
        <f t="shared" si="23"/>
        <v>0.71129707112970719</v>
      </c>
      <c r="L59">
        <f t="shared" si="23"/>
        <v>0.70432357043235705</v>
      </c>
      <c r="M59">
        <f t="shared" si="23"/>
        <v>0.69525801952580191</v>
      </c>
      <c r="N59">
        <f t="shared" si="23"/>
        <v>0.6847977684797768</v>
      </c>
      <c r="O59">
        <f t="shared" si="23"/>
        <v>0.67364016736401666</v>
      </c>
      <c r="P59">
        <f t="shared" si="23"/>
        <v>0.6617852161785216</v>
      </c>
      <c r="Q59">
        <f t="shared" si="23"/>
        <v>0.64993026499302642</v>
      </c>
      <c r="R59">
        <f t="shared" si="23"/>
        <v>0.63807531380753135</v>
      </c>
      <c r="S59">
        <f t="shared" si="23"/>
        <v>0.63807531380753135</v>
      </c>
    </row>
    <row r="60" spans="3:19" x14ac:dyDescent="0.15">
      <c r="C60">
        <v>247.52475247524754</v>
      </c>
      <c r="D60">
        <f t="shared" ref="D60:S60" si="24">D27/0.000478</f>
        <v>0.66945606694560678</v>
      </c>
      <c r="E60">
        <f t="shared" si="24"/>
        <v>0.66945606694560678</v>
      </c>
      <c r="F60">
        <f t="shared" si="24"/>
        <v>0.66945606694560678</v>
      </c>
      <c r="G60">
        <f t="shared" si="24"/>
        <v>0.66945606694560678</v>
      </c>
      <c r="H60">
        <f t="shared" si="24"/>
        <v>0.66945606694560678</v>
      </c>
      <c r="I60">
        <f t="shared" si="24"/>
        <v>0.66945606694560678</v>
      </c>
      <c r="J60">
        <f t="shared" si="24"/>
        <v>0.66347878063359245</v>
      </c>
      <c r="K60">
        <f t="shared" si="24"/>
        <v>0.65750149432157801</v>
      </c>
      <c r="L60">
        <f t="shared" si="24"/>
        <v>0.65750149432157801</v>
      </c>
      <c r="M60">
        <f t="shared" si="24"/>
        <v>0.64554692169754935</v>
      </c>
      <c r="N60">
        <f t="shared" si="24"/>
        <v>0.63956963538553502</v>
      </c>
      <c r="O60">
        <f t="shared" si="24"/>
        <v>0.63359234907352069</v>
      </c>
      <c r="P60">
        <f t="shared" si="24"/>
        <v>0.62163777644949192</v>
      </c>
      <c r="Q60">
        <f t="shared" si="24"/>
        <v>0.61566049013747759</v>
      </c>
      <c r="R60">
        <f t="shared" si="24"/>
        <v>0.60370591751344893</v>
      </c>
      <c r="S60">
        <f t="shared" si="24"/>
        <v>0.60370591751344893</v>
      </c>
    </row>
    <row r="61" spans="3:19" x14ac:dyDescent="0.15">
      <c r="C61">
        <v>282.88543140028293</v>
      </c>
      <c r="D61">
        <f t="shared" ref="D61:S61" si="25">D28/0.000478</f>
        <v>0.60669456066945604</v>
      </c>
      <c r="E61">
        <f t="shared" si="25"/>
        <v>0.61192468619246865</v>
      </c>
      <c r="F61">
        <f t="shared" si="25"/>
        <v>0.61192468619246865</v>
      </c>
      <c r="G61">
        <f t="shared" si="25"/>
        <v>0.61192468619246865</v>
      </c>
      <c r="H61">
        <f t="shared" si="25"/>
        <v>0.61192468619246865</v>
      </c>
      <c r="I61">
        <f t="shared" si="25"/>
        <v>0.61192468619246865</v>
      </c>
      <c r="J61">
        <f t="shared" si="25"/>
        <v>0.61192468619246865</v>
      </c>
      <c r="K61">
        <f t="shared" si="25"/>
        <v>0.61192468619246865</v>
      </c>
      <c r="L61">
        <f t="shared" si="25"/>
        <v>0.60669456066945604</v>
      </c>
      <c r="M61">
        <f t="shared" si="25"/>
        <v>0.60146443514644343</v>
      </c>
      <c r="N61">
        <f t="shared" si="25"/>
        <v>0.59623430962343094</v>
      </c>
      <c r="O61">
        <f t="shared" si="25"/>
        <v>0.59100418410041833</v>
      </c>
      <c r="P61">
        <f t="shared" si="25"/>
        <v>0.58577405857740594</v>
      </c>
      <c r="Q61">
        <f t="shared" si="25"/>
        <v>0.57531380753138073</v>
      </c>
      <c r="R61">
        <f t="shared" si="25"/>
        <v>0.57008368200836823</v>
      </c>
      <c r="S61">
        <f t="shared" si="25"/>
        <v>0.57008368200836823</v>
      </c>
    </row>
    <row r="62" spans="3:19" x14ac:dyDescent="0.15">
      <c r="C62">
        <v>318.24611032531828</v>
      </c>
      <c r="D62">
        <f t="shared" ref="D62:S62" si="26">D29/0.000478</f>
        <v>0.55788005578800559</v>
      </c>
      <c r="E62">
        <f t="shared" si="26"/>
        <v>0.56252905625290561</v>
      </c>
      <c r="F62">
        <f t="shared" si="26"/>
        <v>0.56252905625290561</v>
      </c>
      <c r="G62">
        <f t="shared" si="26"/>
        <v>0.56717805671780563</v>
      </c>
      <c r="H62">
        <f t="shared" si="26"/>
        <v>0.56717805671780563</v>
      </c>
      <c r="I62">
        <f t="shared" si="26"/>
        <v>0.56717805671780563</v>
      </c>
      <c r="J62">
        <f t="shared" si="26"/>
        <v>0.56717805671780563</v>
      </c>
      <c r="K62">
        <f t="shared" si="26"/>
        <v>0.56252905625290561</v>
      </c>
      <c r="L62">
        <f t="shared" si="26"/>
        <v>0.56252905625290561</v>
      </c>
      <c r="M62">
        <f t="shared" si="26"/>
        <v>0.55788005578800559</v>
      </c>
      <c r="N62">
        <f t="shared" si="26"/>
        <v>0.55788005578800559</v>
      </c>
      <c r="O62">
        <f t="shared" si="26"/>
        <v>0.55323105532310546</v>
      </c>
      <c r="P62">
        <f t="shared" si="26"/>
        <v>0.54858205485820544</v>
      </c>
      <c r="Q62">
        <f t="shared" si="26"/>
        <v>0.54393305439330542</v>
      </c>
      <c r="R62">
        <f t="shared" si="26"/>
        <v>0.53928405392840539</v>
      </c>
      <c r="S62">
        <f t="shared" si="26"/>
        <v>0.53928405392840539</v>
      </c>
    </row>
    <row r="63" spans="3:19" x14ac:dyDescent="0.15">
      <c r="C63">
        <v>353.60678925035364</v>
      </c>
      <c r="D63">
        <f t="shared" ref="D63:S63" si="27">D30/0.000478</f>
        <v>0.51464435146443521</v>
      </c>
      <c r="E63">
        <f t="shared" si="27"/>
        <v>0.51882845188284521</v>
      </c>
      <c r="F63">
        <f t="shared" si="27"/>
        <v>0.51882845188284521</v>
      </c>
      <c r="G63">
        <f t="shared" si="27"/>
        <v>0.52301255230125521</v>
      </c>
      <c r="H63">
        <f t="shared" si="27"/>
        <v>0.52301255230125521</v>
      </c>
      <c r="I63">
        <f t="shared" si="27"/>
        <v>0.5271966527196652</v>
      </c>
      <c r="J63">
        <f t="shared" si="27"/>
        <v>0.5271966527196652</v>
      </c>
      <c r="K63">
        <f t="shared" si="27"/>
        <v>0.5271966527196652</v>
      </c>
      <c r="L63">
        <f t="shared" si="27"/>
        <v>0.52301255230125521</v>
      </c>
      <c r="M63">
        <f t="shared" si="27"/>
        <v>0.52301255230125521</v>
      </c>
      <c r="N63">
        <f t="shared" si="27"/>
        <v>0.51882845188284521</v>
      </c>
      <c r="O63">
        <f t="shared" si="27"/>
        <v>0.51882845188284521</v>
      </c>
      <c r="P63">
        <f t="shared" si="27"/>
        <v>0.51464435146443521</v>
      </c>
      <c r="Q63">
        <f t="shared" si="27"/>
        <v>0.5104602510460251</v>
      </c>
      <c r="R63">
        <f t="shared" si="27"/>
        <v>0.506276150627615</v>
      </c>
      <c r="S63">
        <f t="shared" si="27"/>
        <v>0.506276150627615</v>
      </c>
    </row>
    <row r="64" spans="3:19" x14ac:dyDescent="0.15">
      <c r="C64">
        <v>388.967468175389</v>
      </c>
      <c r="D64">
        <f t="shared" ref="D64:S64" si="28">D31/0.000478</f>
        <v>0.47926968429060479</v>
      </c>
      <c r="E64">
        <f t="shared" si="28"/>
        <v>0.47926968429060479</v>
      </c>
      <c r="F64">
        <f t="shared" si="28"/>
        <v>0.48307341194370484</v>
      </c>
      <c r="G64">
        <f t="shared" si="28"/>
        <v>0.4868771395968049</v>
      </c>
      <c r="H64">
        <f t="shared" si="28"/>
        <v>0.4868771395968049</v>
      </c>
      <c r="I64">
        <f t="shared" si="28"/>
        <v>0.49068086724990495</v>
      </c>
      <c r="J64">
        <f t="shared" si="28"/>
        <v>0.49068086724990495</v>
      </c>
      <c r="K64">
        <f t="shared" si="28"/>
        <v>0.49068086724990495</v>
      </c>
      <c r="L64">
        <f t="shared" si="28"/>
        <v>0.49068086724990495</v>
      </c>
      <c r="M64">
        <f t="shared" si="28"/>
        <v>0.49068086724990495</v>
      </c>
      <c r="N64">
        <f t="shared" si="28"/>
        <v>0.4868771395968049</v>
      </c>
      <c r="O64">
        <f t="shared" si="28"/>
        <v>0.4868771395968049</v>
      </c>
      <c r="P64">
        <f t="shared" si="28"/>
        <v>0.48307341194370484</v>
      </c>
      <c r="Q64">
        <f t="shared" si="28"/>
        <v>0.47926968429060479</v>
      </c>
      <c r="R64">
        <f t="shared" si="28"/>
        <v>0.47546595663750474</v>
      </c>
      <c r="S64">
        <f t="shared" si="28"/>
        <v>0.47546595663750474</v>
      </c>
    </row>
    <row r="65" spans="3:19" x14ac:dyDescent="0.15">
      <c r="C65">
        <v>424.32814710042436</v>
      </c>
      <c r="D65">
        <f t="shared" ref="D65:S65" si="29">D32/0.000478</f>
        <v>0.44630404463040446</v>
      </c>
      <c r="E65">
        <f t="shared" si="29"/>
        <v>0.44979079497907948</v>
      </c>
      <c r="F65">
        <f t="shared" si="29"/>
        <v>0.45327754532775455</v>
      </c>
      <c r="G65">
        <f t="shared" si="29"/>
        <v>0.45327754532775455</v>
      </c>
      <c r="H65">
        <f t="shared" si="29"/>
        <v>0.45676429567642957</v>
      </c>
      <c r="I65">
        <f t="shared" si="29"/>
        <v>0.45676429567642957</v>
      </c>
      <c r="J65">
        <f t="shared" si="29"/>
        <v>0.45676429567642957</v>
      </c>
      <c r="K65">
        <f t="shared" si="29"/>
        <v>0.46025104602510458</v>
      </c>
      <c r="L65">
        <f t="shared" si="29"/>
        <v>0.46025104602510458</v>
      </c>
      <c r="M65">
        <f t="shared" si="29"/>
        <v>0.46025104602510458</v>
      </c>
      <c r="N65">
        <f t="shared" si="29"/>
        <v>0.45676429567642957</v>
      </c>
      <c r="O65">
        <f t="shared" si="29"/>
        <v>0.45676429567642957</v>
      </c>
      <c r="P65">
        <f t="shared" si="29"/>
        <v>0.45327754532775455</v>
      </c>
      <c r="Q65">
        <f t="shared" si="29"/>
        <v>0.45327754532775455</v>
      </c>
      <c r="R65">
        <f t="shared" si="29"/>
        <v>0.44979079497907948</v>
      </c>
      <c r="S65">
        <f t="shared" si="29"/>
        <v>0.44979079497907948</v>
      </c>
    </row>
    <row r="66" spans="3:19" x14ac:dyDescent="0.15">
      <c r="C66">
        <v>459.68882602545972</v>
      </c>
      <c r="D66">
        <f t="shared" ref="D66:S66" si="30">D33/0.000478</f>
        <v>0.41841004184100417</v>
      </c>
      <c r="E66">
        <f t="shared" si="30"/>
        <v>0.42162858062439651</v>
      </c>
      <c r="F66">
        <f t="shared" si="30"/>
        <v>0.42484711940778885</v>
      </c>
      <c r="G66">
        <f t="shared" si="30"/>
        <v>0.42484711940778885</v>
      </c>
      <c r="H66">
        <f t="shared" si="30"/>
        <v>0.4280656581911812</v>
      </c>
      <c r="I66">
        <f t="shared" si="30"/>
        <v>0.4280656581911812</v>
      </c>
      <c r="J66">
        <f t="shared" si="30"/>
        <v>0.43128419697457354</v>
      </c>
      <c r="K66">
        <f t="shared" si="30"/>
        <v>0.43128419697457354</v>
      </c>
      <c r="L66">
        <f t="shared" si="30"/>
        <v>0.43128419697457354</v>
      </c>
      <c r="M66">
        <f t="shared" si="30"/>
        <v>0.43128419697457354</v>
      </c>
      <c r="N66">
        <f t="shared" si="30"/>
        <v>0.43128419697457354</v>
      </c>
      <c r="O66">
        <f t="shared" si="30"/>
        <v>0.43128419697457354</v>
      </c>
      <c r="P66">
        <f t="shared" si="30"/>
        <v>0.4280656581911812</v>
      </c>
      <c r="Q66">
        <f t="shared" si="30"/>
        <v>0.4280656581911812</v>
      </c>
      <c r="R66">
        <f t="shared" si="30"/>
        <v>0.42484711940778885</v>
      </c>
      <c r="S66">
        <f t="shared" si="30"/>
        <v>0.42484711940778885</v>
      </c>
    </row>
    <row r="67" spans="3:19" x14ac:dyDescent="0.15">
      <c r="C67">
        <v>495.04950495049508</v>
      </c>
      <c r="D67">
        <f t="shared" ref="D67:S67" si="31">D34/0.000478</f>
        <v>0.39450089659294679</v>
      </c>
      <c r="E67">
        <f t="shared" si="31"/>
        <v>0.39748953974895396</v>
      </c>
      <c r="F67">
        <f t="shared" si="31"/>
        <v>0.39748953974895396</v>
      </c>
      <c r="G67">
        <f t="shared" si="31"/>
        <v>0.40047818290496118</v>
      </c>
      <c r="H67">
        <f t="shared" si="31"/>
        <v>0.40346682606096834</v>
      </c>
      <c r="I67">
        <f t="shared" si="31"/>
        <v>0.40346682606096834</v>
      </c>
      <c r="J67">
        <f t="shared" si="31"/>
        <v>0.40645546921697551</v>
      </c>
      <c r="K67">
        <f t="shared" si="31"/>
        <v>0.40645546921697551</v>
      </c>
      <c r="L67">
        <f t="shared" si="31"/>
        <v>0.40645546921697551</v>
      </c>
      <c r="M67">
        <f t="shared" si="31"/>
        <v>0.40645546921697551</v>
      </c>
      <c r="N67">
        <f t="shared" si="31"/>
        <v>0.40645546921697551</v>
      </c>
      <c r="O67">
        <f t="shared" si="31"/>
        <v>0.40645546921697551</v>
      </c>
      <c r="P67">
        <f t="shared" si="31"/>
        <v>0.40645546921697551</v>
      </c>
      <c r="Q67">
        <f t="shared" si="31"/>
        <v>0.40346682606096834</v>
      </c>
      <c r="R67">
        <f t="shared" si="31"/>
        <v>0.40346682606096834</v>
      </c>
      <c r="S67">
        <f t="shared" si="31"/>
        <v>0.40346682606096834</v>
      </c>
    </row>
    <row r="68" spans="3:19" x14ac:dyDescent="0.15">
      <c r="C68">
        <v>530.41018387553049</v>
      </c>
      <c r="D68">
        <f t="shared" ref="D68:S68" si="32">D35/0.000478</f>
        <v>0.39450089659294679</v>
      </c>
      <c r="E68">
        <f t="shared" si="32"/>
        <v>0.39748953974895396</v>
      </c>
      <c r="F68">
        <f t="shared" si="32"/>
        <v>0.39748953974895396</v>
      </c>
      <c r="G68">
        <f t="shared" si="32"/>
        <v>0.40047818290496118</v>
      </c>
      <c r="H68">
        <f t="shared" si="32"/>
        <v>0.40346682606096834</v>
      </c>
      <c r="I68">
        <f t="shared" si="32"/>
        <v>0.40346682606096834</v>
      </c>
      <c r="J68">
        <f t="shared" si="32"/>
        <v>0.40645546921697551</v>
      </c>
      <c r="K68">
        <f t="shared" si="32"/>
        <v>0.40645546921697551</v>
      </c>
      <c r="L68">
        <f t="shared" si="32"/>
        <v>0.40645546921697551</v>
      </c>
      <c r="M68">
        <f t="shared" si="32"/>
        <v>0.40645546921697551</v>
      </c>
      <c r="N68">
        <f t="shared" si="32"/>
        <v>0.40645546921697551</v>
      </c>
      <c r="O68">
        <f t="shared" si="32"/>
        <v>0.40645546921697551</v>
      </c>
      <c r="P68">
        <f t="shared" si="32"/>
        <v>0.40645546921697551</v>
      </c>
      <c r="Q68">
        <f t="shared" si="32"/>
        <v>0.40346682606096834</v>
      </c>
      <c r="R68">
        <f t="shared" si="32"/>
        <v>0.40346682606096834</v>
      </c>
      <c r="S68">
        <f t="shared" si="32"/>
        <v>0.40346682606096834</v>
      </c>
    </row>
  </sheetData>
  <phoneticPr fontId="3" type="noConversion"/>
  <pageMargins left="0.75" right="0.75" top="1" bottom="1" header="0.51" footer="0.51"/>
  <pageSetup paperSize="9" orientation="portrait" horizontalDpi="0" verticalDpi="0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47"/>
  <sheetViews>
    <sheetView topLeftCell="A26" zoomScaleSheetLayoutView="100" workbookViewId="0">
      <selection activeCell="K45" sqref="K45"/>
    </sheetView>
  </sheetViews>
  <sheetFormatPr defaultColWidth="9" defaultRowHeight="14.25" x14ac:dyDescent="0.15"/>
  <cols>
    <col min="5" max="7" width="9" style="6"/>
    <col min="8" max="8" width="9.5" style="6" bestFit="1" customWidth="1"/>
    <col min="9" max="9" width="9" style="6"/>
  </cols>
  <sheetData>
    <row r="1" spans="2:11" x14ac:dyDescent="0.15">
      <c r="C1" s="6">
        <v>-40</v>
      </c>
      <c r="D1" s="6">
        <v>0</v>
      </c>
      <c r="E1" s="6">
        <v>40</v>
      </c>
      <c r="F1" s="6">
        <v>80</v>
      </c>
      <c r="G1" s="6">
        <v>120</v>
      </c>
      <c r="H1" s="6">
        <v>160</v>
      </c>
      <c r="I1" s="6">
        <v>180</v>
      </c>
    </row>
    <row r="2" spans="2:11" x14ac:dyDescent="0.15">
      <c r="C2" s="6">
        <f t="shared" ref="C2" si="0">0.04545-0.00005943*C1</f>
        <v>4.78272E-2</v>
      </c>
      <c r="D2" s="6">
        <f t="shared" ref="D2" si="1">0.04545-0.00005943*D1</f>
        <v>4.5449999999999997E-2</v>
      </c>
      <c r="E2" s="6">
        <f>0.04545-0.00005943*E1</f>
        <v>4.3072799999999994E-2</v>
      </c>
      <c r="F2" s="6">
        <f t="shared" ref="F2" si="2">0.04545-0.00005943*F1</f>
        <v>4.0695599999999998E-2</v>
      </c>
      <c r="G2" s="6">
        <f>0.04545-0.00005943*G1</f>
        <v>3.8318399999999996E-2</v>
      </c>
      <c r="H2" s="6">
        <v>3.5700000000000003E-2</v>
      </c>
      <c r="I2" s="6">
        <v>3.3799999999999997E-2</v>
      </c>
    </row>
    <row r="3" spans="2:11" x14ac:dyDescent="0.15">
      <c r="B3" s="6" t="s">
        <v>12</v>
      </c>
      <c r="G3" s="6" t="s">
        <v>13</v>
      </c>
    </row>
    <row r="4" spans="2:11" x14ac:dyDescent="0.15">
      <c r="B4" s="6">
        <v>0</v>
      </c>
      <c r="C4" s="6">
        <f ca="1">$I4+($C4-$I4)*(C$2-$I$2)/($C$2-$I$2)</f>
        <v>0</v>
      </c>
      <c r="D4" s="6">
        <f ca="1">$I4+($C4-$I4)*(D$2-$I$2)/($C$2-$I$2)</f>
        <v>0</v>
      </c>
      <c r="E4" s="6">
        <f ca="1">$I4+($C4-$I4)*(E$2-$I$2)/($C$2-$I$2)</f>
        <v>0</v>
      </c>
      <c r="F4" s="6">
        <f ca="1">$I4+($C4-$I4)*(F$2-$I$2)/($C$2-$I$2)</f>
        <v>0</v>
      </c>
      <c r="G4" s="8">
        <v>0</v>
      </c>
      <c r="H4" s="6">
        <f t="shared" ref="H4:H13" ca="1" si="3">$I4+($C4-$I4)*(H$2-$I$2)/($C$2-$I$2)</f>
        <v>0</v>
      </c>
      <c r="I4" s="8">
        <v>0</v>
      </c>
      <c r="K4" s="6">
        <v>0</v>
      </c>
    </row>
    <row r="5" spans="2:11" x14ac:dyDescent="0.15">
      <c r="B5" s="6">
        <v>20</v>
      </c>
      <c r="C5" s="6">
        <v>-11</v>
      </c>
      <c r="D5" s="6">
        <f t="shared" ref="D5:G6" si="4">$I5+($C5-$I5)*(D$2-$I$2)/($C$2-$I$2)</f>
        <v>-12.016824455343905</v>
      </c>
      <c r="E5" s="6">
        <f t="shared" si="4"/>
        <v>-13.033648910687809</v>
      </c>
      <c r="F5" s="6">
        <f t="shared" si="4"/>
        <v>-14.05047336603171</v>
      </c>
      <c r="G5" s="6">
        <f t="shared" si="4"/>
        <v>-15.067297821375615</v>
      </c>
      <c r="H5" s="6">
        <f t="shared" si="3"/>
        <v>-16.187293258811451</v>
      </c>
      <c r="I5" s="6">
        <v>-17</v>
      </c>
      <c r="K5" s="6">
        <v>-10</v>
      </c>
    </row>
    <row r="6" spans="2:11" x14ac:dyDescent="0.15">
      <c r="B6" s="6">
        <v>40</v>
      </c>
      <c r="C6" s="8">
        <v>-21</v>
      </c>
      <c r="D6" s="6">
        <f t="shared" si="4"/>
        <v>-23.203119653245125</v>
      </c>
      <c r="E6" s="6">
        <f t="shared" si="4"/>
        <v>-25.406239306490249</v>
      </c>
      <c r="F6" s="6">
        <f t="shared" si="4"/>
        <v>-27.609358959735371</v>
      </c>
      <c r="G6" s="6">
        <f t="shared" si="4"/>
        <v>-29.812478612980499</v>
      </c>
      <c r="H6" s="6">
        <f t="shared" si="3"/>
        <v>-32.239135394091477</v>
      </c>
      <c r="I6" s="8">
        <v>-34</v>
      </c>
      <c r="K6" s="6">
        <v>-30</v>
      </c>
    </row>
    <row r="7" spans="2:11" x14ac:dyDescent="0.15">
      <c r="B7" s="6">
        <v>60</v>
      </c>
      <c r="C7" s="6">
        <v>-35</v>
      </c>
      <c r="D7" s="6">
        <f t="shared" ref="D7:E13" si="5">$I7+($C7-$I7)*(D$2-$I$2)/($C$2-$I$2)</f>
        <v>-37.542061138359756</v>
      </c>
      <c r="E7" s="6">
        <f t="shared" si="5"/>
        <v>-40.084122276719519</v>
      </c>
      <c r="F7" s="8">
        <v>-44</v>
      </c>
      <c r="G7" s="6">
        <f t="shared" ref="G7:G20" si="6">$I7+($C7-$I7)*(G$2-$I$2)/($C$2-$I$2)</f>
        <v>-45.168244553439038</v>
      </c>
      <c r="H7" s="6">
        <f t="shared" si="3"/>
        <v>-47.968233147028627</v>
      </c>
      <c r="I7" s="6">
        <v>-50</v>
      </c>
      <c r="K7" s="6">
        <v>-47</v>
      </c>
    </row>
    <row r="8" spans="2:11" x14ac:dyDescent="0.15">
      <c r="B8" s="6">
        <v>80</v>
      </c>
      <c r="C8" s="8">
        <v>-50</v>
      </c>
      <c r="D8" s="6">
        <f t="shared" si="5"/>
        <v>-52.881002623474394</v>
      </c>
      <c r="E8" s="6">
        <f t="shared" si="5"/>
        <v>-55.762005246948789</v>
      </c>
      <c r="F8" s="6">
        <f>$I8+($C8-$I8)*(F$2-$I$2)/($C$2-$I$2)</f>
        <v>-58.643007870423176</v>
      </c>
      <c r="G8" s="6">
        <f t="shared" si="6"/>
        <v>-61.52401049389757</v>
      </c>
      <c r="H8" s="6">
        <f t="shared" si="3"/>
        <v>-64.697330899965777</v>
      </c>
      <c r="I8" s="8">
        <v>-67</v>
      </c>
      <c r="K8" s="6">
        <v>-60</v>
      </c>
    </row>
    <row r="9" spans="2:11" x14ac:dyDescent="0.15">
      <c r="B9" s="6">
        <v>100</v>
      </c>
      <c r="C9" s="6">
        <v>-61</v>
      </c>
      <c r="D9" s="6">
        <f t="shared" si="5"/>
        <v>-65.236768563932941</v>
      </c>
      <c r="E9" s="6">
        <f t="shared" si="5"/>
        <v>-69.473537127865868</v>
      </c>
      <c r="F9" s="8">
        <v>-72</v>
      </c>
      <c r="G9" s="6">
        <f t="shared" si="6"/>
        <v>-77.947074255731721</v>
      </c>
      <c r="H9" s="6">
        <f t="shared" si="3"/>
        <v>-82.613721911714379</v>
      </c>
      <c r="I9" s="6">
        <v>-86</v>
      </c>
      <c r="K9" s="6">
        <v>-78</v>
      </c>
    </row>
    <row r="10" spans="2:11" x14ac:dyDescent="0.15">
      <c r="B10" s="6">
        <v>120</v>
      </c>
      <c r="C10" s="8">
        <v>-75</v>
      </c>
      <c r="D10" s="6">
        <f t="shared" si="5"/>
        <v>-79.914651534162203</v>
      </c>
      <c r="E10" s="6">
        <f t="shared" si="5"/>
        <v>-84.829303068324407</v>
      </c>
      <c r="F10" s="6">
        <f>$I10+($C10-$I10)*(F$2-$I$2)/($C$2-$I$2)</f>
        <v>-89.743954602486596</v>
      </c>
      <c r="G10" s="6">
        <f t="shared" si="6"/>
        <v>-94.6586061366488</v>
      </c>
      <c r="H10" s="6">
        <f t="shared" si="3"/>
        <v>-100.07191741758868</v>
      </c>
      <c r="I10" s="8">
        <v>-104</v>
      </c>
      <c r="K10" s="6">
        <v>-98</v>
      </c>
    </row>
    <row r="11" spans="2:11" x14ac:dyDescent="0.15">
      <c r="B11" s="6">
        <v>140</v>
      </c>
      <c r="C11" s="6">
        <v>-89</v>
      </c>
      <c r="D11" s="6">
        <f t="shared" si="5"/>
        <v>-95.10094673206342</v>
      </c>
      <c r="E11" s="6">
        <f t="shared" si="5"/>
        <v>-101.20189346412685</v>
      </c>
      <c r="F11" s="8">
        <v>-107</v>
      </c>
      <c r="G11" s="6">
        <f t="shared" si="6"/>
        <v>-113.40378692825368</v>
      </c>
      <c r="H11" s="6">
        <f t="shared" si="3"/>
        <v>-120.12375955286871</v>
      </c>
      <c r="I11" s="6">
        <v>-125</v>
      </c>
      <c r="K11" s="6">
        <v>-113</v>
      </c>
    </row>
    <row r="12" spans="2:11" x14ac:dyDescent="0.15">
      <c r="B12" s="6">
        <v>160</v>
      </c>
      <c r="C12" s="8">
        <v>-104</v>
      </c>
      <c r="D12" s="6">
        <f t="shared" si="5"/>
        <v>-111.11777118740733</v>
      </c>
      <c r="E12" s="6">
        <f t="shared" si="5"/>
        <v>-118.23554237481466</v>
      </c>
      <c r="F12" s="6">
        <f>$I12+($C12-$I12)*(F$2-$I$2)/($C$2-$I$2)</f>
        <v>-125.35331356222197</v>
      </c>
      <c r="G12" s="6">
        <f t="shared" si="6"/>
        <v>-132.47108474962931</v>
      </c>
      <c r="H12" s="6">
        <f t="shared" si="3"/>
        <v>-140.31105281168016</v>
      </c>
      <c r="I12" s="8">
        <v>-146</v>
      </c>
      <c r="K12" s="6">
        <v>-132</v>
      </c>
    </row>
    <row r="13" spans="2:11" x14ac:dyDescent="0.15">
      <c r="B13" s="6">
        <v>180</v>
      </c>
      <c r="C13" s="6">
        <v>-123</v>
      </c>
      <c r="D13" s="6">
        <f t="shared" si="5"/>
        <v>-129.94830044485002</v>
      </c>
      <c r="E13" s="6">
        <f t="shared" si="5"/>
        <v>-136.89660088970004</v>
      </c>
      <c r="F13" s="8">
        <v>-145</v>
      </c>
      <c r="G13" s="6">
        <f t="shared" si="6"/>
        <v>-150.79320177940002</v>
      </c>
      <c r="H13" s="6">
        <f t="shared" si="3"/>
        <v>-158.44650393521158</v>
      </c>
      <c r="I13" s="6">
        <v>-164</v>
      </c>
      <c r="K13" s="6">
        <v>-152</v>
      </c>
    </row>
    <row r="14" spans="2:11" x14ac:dyDescent="0.15">
      <c r="B14" s="6">
        <v>200</v>
      </c>
      <c r="C14" s="8">
        <v>-141</v>
      </c>
      <c r="D14" s="8">
        <v>-150</v>
      </c>
      <c r="E14" s="8">
        <v>-157</v>
      </c>
      <c r="F14" s="8">
        <v>-164</v>
      </c>
      <c r="G14" s="6">
        <f t="shared" si="6"/>
        <v>-170.14896771985858</v>
      </c>
      <c r="H14" s="8">
        <v>-179</v>
      </c>
      <c r="I14" s="8">
        <v>-184</v>
      </c>
      <c r="K14" s="6">
        <v>-171</v>
      </c>
    </row>
    <row r="15" spans="2:11" x14ac:dyDescent="0.15">
      <c r="B15" s="6">
        <v>220</v>
      </c>
      <c r="C15" s="6">
        <v>-160</v>
      </c>
      <c r="D15" s="6">
        <f t="shared" ref="D15:E20" si="7">$I15+($C15-$I15)*(D$2-$I$2)/($C$2-$I$2)</f>
        <v>-167.96512490019393</v>
      </c>
      <c r="E15" s="6">
        <f t="shared" si="7"/>
        <v>-175.93024980038783</v>
      </c>
      <c r="F15" s="8">
        <v>-185</v>
      </c>
      <c r="G15" s="6">
        <f t="shared" si="6"/>
        <v>-191.86049960077565</v>
      </c>
      <c r="H15" s="6">
        <f t="shared" ref="H15:H20" si="8">$I15+($C15-$I15)*(H$2-$I$2)/($C$2-$I$2)</f>
        <v>-200.63379719402303</v>
      </c>
      <c r="I15" s="6">
        <v>-207</v>
      </c>
      <c r="K15" s="6">
        <v>-193</v>
      </c>
    </row>
    <row r="16" spans="2:11" x14ac:dyDescent="0.15">
      <c r="B16" s="6">
        <v>240</v>
      </c>
      <c r="C16" s="8">
        <v>-179</v>
      </c>
      <c r="D16" s="6">
        <f t="shared" si="7"/>
        <v>-187.47353712786588</v>
      </c>
      <c r="E16" s="6">
        <f t="shared" si="7"/>
        <v>-195.94707425573174</v>
      </c>
      <c r="F16" s="6">
        <f>$I16+($C16-$I16)*(F$2-$I$2)/($C$2-$I$2)</f>
        <v>-204.42061138359759</v>
      </c>
      <c r="G16" s="6">
        <f t="shared" si="6"/>
        <v>-212.89414851146344</v>
      </c>
      <c r="H16" s="6">
        <f t="shared" si="8"/>
        <v>-222.22744382342876</v>
      </c>
      <c r="I16" s="8">
        <v>-229</v>
      </c>
      <c r="K16" s="6">
        <v>-213</v>
      </c>
    </row>
    <row r="17" spans="2:11" x14ac:dyDescent="0.15">
      <c r="B17" s="6">
        <v>260</v>
      </c>
      <c r="C17" s="6">
        <v>-193</v>
      </c>
      <c r="D17" s="6">
        <f t="shared" si="7"/>
        <v>-202.6598323257671</v>
      </c>
      <c r="E17" s="6">
        <f t="shared" si="7"/>
        <v>-212.3196646515342</v>
      </c>
      <c r="F17" s="8">
        <v>-222</v>
      </c>
      <c r="G17" s="6">
        <f t="shared" si="6"/>
        <v>-231.63932930306834</v>
      </c>
      <c r="H17" s="6">
        <f t="shared" si="8"/>
        <v>-242.27928595870878</v>
      </c>
      <c r="I17" s="6">
        <v>-250</v>
      </c>
      <c r="K17" s="6">
        <v>-226</v>
      </c>
    </row>
    <row r="18" spans="2:11" x14ac:dyDescent="0.15">
      <c r="B18" s="6">
        <v>280</v>
      </c>
      <c r="C18" s="8">
        <v>-212</v>
      </c>
      <c r="D18" s="6">
        <f t="shared" si="7"/>
        <v>-221.99877381088174</v>
      </c>
      <c r="E18" s="6">
        <f t="shared" si="7"/>
        <v>-231.99754762176343</v>
      </c>
      <c r="F18" s="6">
        <f>$I18+($C18-$I18)*(F$2-$I$2)/($C$2-$I$2)</f>
        <v>-241.99632143264515</v>
      </c>
      <c r="G18" s="6">
        <f t="shared" si="6"/>
        <v>-251.99509524352686</v>
      </c>
      <c r="H18" s="6">
        <f t="shared" si="8"/>
        <v>-263.00838371164593</v>
      </c>
      <c r="I18" s="8">
        <v>-271</v>
      </c>
      <c r="K18" s="6">
        <v>-247</v>
      </c>
    </row>
    <row r="19" spans="2:11" x14ac:dyDescent="0.15">
      <c r="B19" s="6">
        <v>300</v>
      </c>
      <c r="C19" s="6">
        <v>-230</v>
      </c>
      <c r="D19" s="6">
        <f t="shared" si="7"/>
        <v>-241.01559826622562</v>
      </c>
      <c r="E19" s="6">
        <f t="shared" si="7"/>
        <v>-252.03119653245125</v>
      </c>
      <c r="F19" s="8">
        <v>-257</v>
      </c>
      <c r="G19" s="6">
        <f t="shared" si="6"/>
        <v>-274.06239306490249</v>
      </c>
      <c r="H19" s="6">
        <f t="shared" si="8"/>
        <v>-286.19567697045738</v>
      </c>
      <c r="I19" s="6">
        <v>-295</v>
      </c>
      <c r="K19" s="6">
        <v>-268</v>
      </c>
    </row>
    <row r="20" spans="2:11" x14ac:dyDescent="0.15">
      <c r="B20" s="6">
        <v>320</v>
      </c>
      <c r="C20" s="8">
        <v>-248</v>
      </c>
      <c r="D20" s="6">
        <f t="shared" si="7"/>
        <v>-259.69348123645489</v>
      </c>
      <c r="E20" s="6">
        <f t="shared" si="7"/>
        <v>-271.38696247290977</v>
      </c>
      <c r="F20" s="8">
        <v>-279</v>
      </c>
      <c r="G20" s="6">
        <f t="shared" si="6"/>
        <v>-294.77392494581954</v>
      </c>
      <c r="H20" s="6">
        <f t="shared" si="8"/>
        <v>-307.65387247633168</v>
      </c>
      <c r="I20" s="8">
        <v>-317</v>
      </c>
      <c r="K20" s="6">
        <v>-291</v>
      </c>
    </row>
    <row r="21" spans="2:11" x14ac:dyDescent="0.15">
      <c r="B21" s="6">
        <v>340</v>
      </c>
      <c r="C21" s="8">
        <v>-269</v>
      </c>
      <c r="D21" s="8">
        <v>-280</v>
      </c>
      <c r="E21" s="8">
        <v>-289</v>
      </c>
      <c r="F21" s="8">
        <v>-301</v>
      </c>
      <c r="G21" s="8">
        <v>-317</v>
      </c>
      <c r="H21" s="8">
        <v>-334</v>
      </c>
      <c r="I21" s="8">
        <v>-342</v>
      </c>
      <c r="K21" s="6">
        <v>-317</v>
      </c>
    </row>
    <row r="22" spans="2:11" x14ac:dyDescent="0.15">
      <c r="B22" s="6">
        <v>360</v>
      </c>
      <c r="C22" s="8">
        <v>-288</v>
      </c>
      <c r="D22" s="6">
        <f t="shared" ref="D22:E24" si="9">$I22+($C22-$I22)*(D$2-$I$2)/($C$2-$I$2)</f>
        <v>-300.54083494924146</v>
      </c>
      <c r="E22" s="6">
        <f t="shared" si="9"/>
        <v>-313.08166989848297</v>
      </c>
      <c r="F22" s="8">
        <v>-327</v>
      </c>
      <c r="G22" s="8">
        <v>-342</v>
      </c>
      <c r="H22" s="6">
        <f>$I22+($C22-$I22)*(H$2-$I$2)/($C$2-$I$2)</f>
        <v>-351.97661685867456</v>
      </c>
      <c r="I22" s="8">
        <v>-362</v>
      </c>
      <c r="K22" s="6">
        <v>-341</v>
      </c>
    </row>
    <row r="23" spans="2:11" x14ac:dyDescent="0.15">
      <c r="B23" s="6">
        <v>380</v>
      </c>
      <c r="C23" s="6">
        <v>-303</v>
      </c>
      <c r="D23" s="6">
        <f t="shared" si="9"/>
        <v>-316.7271301471427</v>
      </c>
      <c r="E23" s="6">
        <f t="shared" si="9"/>
        <v>-330.4542602942854</v>
      </c>
      <c r="F23" s="8">
        <v>-348</v>
      </c>
      <c r="G23" s="6">
        <f>$I23+($C23-$I23)*(G$2-$I$2)/($C$2-$I$2)</f>
        <v>-357.90852058857081</v>
      </c>
      <c r="H23" s="6">
        <f>$I23+($C23-$I23)*(H$2-$I$2)/($C$2-$I$2)</f>
        <v>-373.02845899395459</v>
      </c>
      <c r="I23" s="6">
        <v>-384</v>
      </c>
      <c r="K23" s="6">
        <v>-361</v>
      </c>
    </row>
    <row r="24" spans="2:11" x14ac:dyDescent="0.15">
      <c r="B24" s="6">
        <v>400</v>
      </c>
      <c r="C24" s="8">
        <v>-320</v>
      </c>
      <c r="D24" s="6">
        <f t="shared" si="9"/>
        <v>-335.25236683015856</v>
      </c>
      <c r="E24" s="6">
        <f t="shared" si="9"/>
        <v>-350.50473366031713</v>
      </c>
      <c r="F24" s="8">
        <v>-372</v>
      </c>
      <c r="G24" s="6">
        <f>$I24+($C24-$I24)*(G$2-$I$2)/($C$2-$I$2)</f>
        <v>-381.0094673206342</v>
      </c>
      <c r="H24" s="6">
        <f>$I24+($C24-$I24)*(H$2-$I$2)/($C$2-$I$2)</f>
        <v>-397.80939888217176</v>
      </c>
      <c r="I24" s="8">
        <v>-410</v>
      </c>
      <c r="K24" s="6">
        <v>-385</v>
      </c>
    </row>
    <row r="27" spans="2:11" x14ac:dyDescent="0.15">
      <c r="C27" s="10">
        <v>0</v>
      </c>
      <c r="D27" s="10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</row>
    <row r="28" spans="2:11" x14ac:dyDescent="0.15">
      <c r="C28" s="10">
        <v>-11</v>
      </c>
      <c r="D28" s="10">
        <v>-12.016824455343905</v>
      </c>
      <c r="E28" s="9">
        <v>-13.033648910687809</v>
      </c>
      <c r="F28" s="9">
        <v>-14.05047336603171</v>
      </c>
      <c r="G28" s="9">
        <v>-15.067297821375615</v>
      </c>
      <c r="H28" s="9">
        <v>-16.187293258811451</v>
      </c>
      <c r="I28" s="9">
        <v>-17</v>
      </c>
    </row>
    <row r="29" spans="2:11" x14ac:dyDescent="0.15">
      <c r="C29" s="10">
        <v>-21</v>
      </c>
      <c r="D29" s="10">
        <v>-23.203119653245125</v>
      </c>
      <c r="E29" s="9">
        <v>-25.406239306490249</v>
      </c>
      <c r="F29" s="9">
        <v>-27.609358959735371</v>
      </c>
      <c r="G29" s="9">
        <v>-29.812478612980499</v>
      </c>
      <c r="H29" s="9">
        <v>-32.239135394091477</v>
      </c>
      <c r="I29" s="9">
        <v>-34</v>
      </c>
    </row>
    <row r="30" spans="2:11" x14ac:dyDescent="0.15">
      <c r="C30" s="10">
        <v>-35</v>
      </c>
      <c r="D30" s="10">
        <v>-37.542061138359756</v>
      </c>
      <c r="E30" s="9">
        <v>-40.084122276719519</v>
      </c>
      <c r="F30" s="9">
        <v>-44</v>
      </c>
      <c r="G30" s="9">
        <v>-45.168244553439038</v>
      </c>
      <c r="H30" s="9">
        <v>-47.968233147028627</v>
      </c>
      <c r="I30" s="9">
        <v>-50</v>
      </c>
    </row>
    <row r="31" spans="2:11" x14ac:dyDescent="0.15">
      <c r="C31" s="10">
        <v>-50</v>
      </c>
      <c r="D31" s="10">
        <v>-52.881002623474394</v>
      </c>
      <c r="E31" s="9">
        <v>-55.762005246948789</v>
      </c>
      <c r="F31" s="9">
        <v>-58.643007870423176</v>
      </c>
      <c r="G31" s="9">
        <v>-61.52401049389757</v>
      </c>
      <c r="H31" s="9">
        <v>-64.697330899965777</v>
      </c>
      <c r="I31" s="9">
        <v>-67</v>
      </c>
    </row>
    <row r="32" spans="2:11" x14ac:dyDescent="0.15">
      <c r="C32" s="10">
        <v>-61</v>
      </c>
      <c r="D32" s="10">
        <v>-65.236768563932941</v>
      </c>
      <c r="E32" s="9">
        <v>-69.473537127865868</v>
      </c>
      <c r="F32" s="9">
        <v>-72</v>
      </c>
      <c r="G32" s="9">
        <v>-77.947074255731721</v>
      </c>
      <c r="H32" s="9">
        <v>-82.613721911714379</v>
      </c>
      <c r="I32" s="9">
        <v>-86</v>
      </c>
    </row>
    <row r="33" spans="3:9" x14ac:dyDescent="0.15">
      <c r="C33" s="10">
        <v>-75</v>
      </c>
      <c r="D33" s="10">
        <v>-79.914651534162203</v>
      </c>
      <c r="E33" s="9">
        <v>-84.829303068324407</v>
      </c>
      <c r="F33" s="9">
        <v>-89.743954602486596</v>
      </c>
      <c r="G33" s="9">
        <v>-94.6586061366488</v>
      </c>
      <c r="H33" s="9">
        <v>-100.07191741758868</v>
      </c>
      <c r="I33" s="9">
        <v>-104</v>
      </c>
    </row>
    <row r="34" spans="3:9" x14ac:dyDescent="0.15">
      <c r="C34" s="10">
        <v>-89</v>
      </c>
      <c r="D34" s="10">
        <v>-95.10094673206342</v>
      </c>
      <c r="E34" s="9">
        <v>-101.20189346412685</v>
      </c>
      <c r="F34" s="9">
        <v>-107</v>
      </c>
      <c r="G34" s="9">
        <v>-113.40378692825368</v>
      </c>
      <c r="H34" s="9">
        <v>-120.12375955286871</v>
      </c>
      <c r="I34" s="9">
        <v>-125</v>
      </c>
    </row>
    <row r="35" spans="3:9" x14ac:dyDescent="0.15">
      <c r="C35" s="10">
        <v>-104</v>
      </c>
      <c r="D35" s="10">
        <v>-111.11777118740733</v>
      </c>
      <c r="E35" s="9">
        <v>-118.23554237481466</v>
      </c>
      <c r="F35" s="9">
        <v>-125.35331356222197</v>
      </c>
      <c r="G35" s="9">
        <v>-132.47108474962931</v>
      </c>
      <c r="H35" s="9">
        <v>-140.31105281168016</v>
      </c>
      <c r="I35" s="9">
        <v>-146</v>
      </c>
    </row>
    <row r="36" spans="3:9" x14ac:dyDescent="0.15">
      <c r="C36" s="10">
        <v>-123</v>
      </c>
      <c r="D36" s="10">
        <v>-129.94830044485002</v>
      </c>
      <c r="E36" s="9">
        <v>-136.89660088970004</v>
      </c>
      <c r="F36" s="9">
        <v>-145</v>
      </c>
      <c r="G36" s="9">
        <v>-150.79320177940002</v>
      </c>
      <c r="H36" s="9">
        <v>-158.44650393521158</v>
      </c>
      <c r="I36" s="9">
        <v>-164</v>
      </c>
    </row>
    <row r="37" spans="3:9" x14ac:dyDescent="0.15">
      <c r="C37" s="10">
        <v>-141</v>
      </c>
      <c r="D37" s="10">
        <v>-150</v>
      </c>
      <c r="E37" s="9">
        <v>-157</v>
      </c>
      <c r="F37" s="9">
        <v>-164</v>
      </c>
      <c r="G37" s="9">
        <v>-170.14896771985858</v>
      </c>
      <c r="H37" s="9">
        <v>-179</v>
      </c>
      <c r="I37" s="9">
        <v>-184</v>
      </c>
    </row>
    <row r="38" spans="3:9" x14ac:dyDescent="0.15">
      <c r="C38" s="10">
        <v>-160</v>
      </c>
      <c r="D38" s="10">
        <v>-167.96512490019393</v>
      </c>
      <c r="E38" s="9">
        <v>-175.93024980038783</v>
      </c>
      <c r="F38" s="9">
        <v>-185</v>
      </c>
      <c r="G38" s="9">
        <v>-191.86049960077565</v>
      </c>
      <c r="H38" s="9">
        <v>-200.63379719402303</v>
      </c>
      <c r="I38" s="9">
        <v>-207</v>
      </c>
    </row>
    <row r="39" spans="3:9" x14ac:dyDescent="0.15">
      <c r="C39" s="10">
        <v>-179</v>
      </c>
      <c r="D39" s="10">
        <v>-187.47353712786588</v>
      </c>
      <c r="E39" s="9">
        <v>-195.94707425573174</v>
      </c>
      <c r="F39" s="9">
        <v>-204.42061138359759</v>
      </c>
      <c r="G39" s="9">
        <v>-212.89414851146344</v>
      </c>
      <c r="H39" s="9">
        <v>-222.22744382342876</v>
      </c>
      <c r="I39" s="9">
        <v>-229</v>
      </c>
    </row>
    <row r="40" spans="3:9" x14ac:dyDescent="0.15">
      <c r="C40" s="10">
        <v>-193</v>
      </c>
      <c r="D40" s="10">
        <v>-202.6598323257671</v>
      </c>
      <c r="E40" s="9">
        <v>-212.3196646515342</v>
      </c>
      <c r="F40" s="9">
        <v>-222</v>
      </c>
      <c r="G40" s="9">
        <v>-231.63932930306834</v>
      </c>
      <c r="H40" s="9">
        <v>-242.27928595870878</v>
      </c>
      <c r="I40" s="9">
        <v>-250</v>
      </c>
    </row>
    <row r="41" spans="3:9" x14ac:dyDescent="0.15">
      <c r="C41" s="10">
        <v>-212</v>
      </c>
      <c r="D41" s="10">
        <v>-221.99877381088174</v>
      </c>
      <c r="E41" s="9">
        <v>-231.99754762176343</v>
      </c>
      <c r="F41" s="9">
        <v>-241.99632143264515</v>
      </c>
      <c r="G41" s="9">
        <v>-251.99509524352686</v>
      </c>
      <c r="H41" s="9">
        <v>-263.00838371164593</v>
      </c>
      <c r="I41" s="9">
        <v>-271</v>
      </c>
    </row>
    <row r="42" spans="3:9" x14ac:dyDescent="0.15">
      <c r="C42" s="10">
        <v>-230</v>
      </c>
      <c r="D42" s="10">
        <v>-241.01559826622562</v>
      </c>
      <c r="E42" s="9">
        <v>-252.03119653245125</v>
      </c>
      <c r="F42" s="9">
        <v>-257</v>
      </c>
      <c r="G42" s="9">
        <v>-274.06239306490249</v>
      </c>
      <c r="H42" s="9">
        <v>-286.19567697045738</v>
      </c>
      <c r="I42" s="9">
        <v>-295</v>
      </c>
    </row>
    <row r="43" spans="3:9" x14ac:dyDescent="0.15">
      <c r="C43" s="10">
        <v>-248</v>
      </c>
      <c r="D43" s="10">
        <v>-259.69348123645489</v>
      </c>
      <c r="E43" s="9">
        <v>-271.38696247290977</v>
      </c>
      <c r="F43" s="9">
        <v>-279</v>
      </c>
      <c r="G43" s="9">
        <v>-294.77392494581954</v>
      </c>
      <c r="H43" s="9">
        <v>-307.65387247633168</v>
      </c>
      <c r="I43" s="9">
        <v>-317</v>
      </c>
    </row>
    <row r="44" spans="3:9" x14ac:dyDescent="0.15">
      <c r="C44" s="10">
        <v>-269</v>
      </c>
      <c r="D44" s="10">
        <v>-280</v>
      </c>
      <c r="E44" s="9">
        <v>-289</v>
      </c>
      <c r="F44" s="9">
        <v>-301</v>
      </c>
      <c r="G44" s="9">
        <v>-317</v>
      </c>
      <c r="H44" s="9">
        <v>-334</v>
      </c>
      <c r="I44" s="9">
        <v>-342</v>
      </c>
    </row>
    <row r="45" spans="3:9" x14ac:dyDescent="0.15">
      <c r="C45" s="10">
        <v>-288</v>
      </c>
      <c r="D45" s="10">
        <v>-300.54083494924146</v>
      </c>
      <c r="E45" s="9">
        <v>-313.08166989848297</v>
      </c>
      <c r="F45" s="9">
        <v>-327</v>
      </c>
      <c r="G45" s="9">
        <v>-342</v>
      </c>
      <c r="H45" s="9">
        <v>-351.97661685867456</v>
      </c>
      <c r="I45" s="9">
        <v>-362</v>
      </c>
    </row>
    <row r="46" spans="3:9" x14ac:dyDescent="0.15">
      <c r="C46" s="10">
        <v>-303</v>
      </c>
      <c r="D46" s="10">
        <v>-316.7271301471427</v>
      </c>
      <c r="E46" s="9">
        <v>-330.4542602942854</v>
      </c>
      <c r="F46" s="9">
        <v>-348</v>
      </c>
      <c r="G46" s="9">
        <v>-357.90852058857081</v>
      </c>
      <c r="H46" s="9">
        <v>-373.02845899395459</v>
      </c>
      <c r="I46" s="9">
        <v>-384</v>
      </c>
    </row>
    <row r="47" spans="3:9" x14ac:dyDescent="0.15">
      <c r="C47" s="10">
        <v>-320</v>
      </c>
      <c r="D47" s="10">
        <v>-335.25236683015856</v>
      </c>
      <c r="E47" s="9">
        <v>-350.50473366031713</v>
      </c>
      <c r="F47" s="9">
        <v>-372</v>
      </c>
      <c r="G47" s="9">
        <v>-381.0094673206342</v>
      </c>
      <c r="H47" s="9">
        <v>-397.80939888217176</v>
      </c>
      <c r="I47" s="9">
        <v>-410</v>
      </c>
    </row>
  </sheetData>
  <phoneticPr fontId="3" type="noConversion"/>
  <pageMargins left="0.75" right="0.75" top="1" bottom="1" header="0.51" footer="0.51"/>
  <pageSetup paperSize="9" orientation="portrait" r:id="rId1"/>
  <headerFooter scaleWithDoc="0"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abSelected="1" workbookViewId="0">
      <selection activeCell="X12" sqref="D5:X12"/>
    </sheetView>
  </sheetViews>
  <sheetFormatPr defaultRowHeight="14.25" x14ac:dyDescent="0.15"/>
  <sheetData>
    <row r="1" spans="1:24" x14ac:dyDescent="0.15">
      <c r="C1" s="6" t="s">
        <v>6</v>
      </c>
      <c r="D1" s="6" t="s">
        <v>7</v>
      </c>
      <c r="E1" s="6" t="s">
        <v>8</v>
      </c>
      <c r="F1" s="6" t="s">
        <v>9</v>
      </c>
    </row>
    <row r="2" spans="1:24" x14ac:dyDescent="0.15">
      <c r="C2" s="6">
        <v>200</v>
      </c>
      <c r="D2" s="6">
        <v>9700</v>
      </c>
      <c r="E2" s="6">
        <v>4</v>
      </c>
      <c r="F2">
        <f>C2/2.45/2/PI()/(D2/60*E2)</f>
        <v>2.0091093173813846E-2</v>
      </c>
    </row>
    <row r="4" spans="1:24" x14ac:dyDescent="0.15">
      <c r="A4" t="s">
        <v>10</v>
      </c>
      <c r="B4" t="s">
        <v>11</v>
      </c>
      <c r="D4">
        <v>0</v>
      </c>
      <c r="E4">
        <v>20</v>
      </c>
      <c r="F4">
        <v>40</v>
      </c>
      <c r="G4">
        <v>60</v>
      </c>
      <c r="H4">
        <v>80</v>
      </c>
      <c r="I4">
        <v>100</v>
      </c>
      <c r="J4">
        <v>120</v>
      </c>
      <c r="K4">
        <v>140</v>
      </c>
      <c r="L4">
        <v>160</v>
      </c>
      <c r="M4">
        <v>180</v>
      </c>
      <c r="N4">
        <v>200</v>
      </c>
      <c r="O4">
        <v>220</v>
      </c>
      <c r="P4">
        <v>240</v>
      </c>
      <c r="Q4">
        <v>260</v>
      </c>
      <c r="R4">
        <v>280</v>
      </c>
      <c r="S4">
        <v>300</v>
      </c>
      <c r="T4">
        <v>320</v>
      </c>
      <c r="U4">
        <v>340</v>
      </c>
      <c r="V4">
        <v>360</v>
      </c>
      <c r="W4">
        <v>380</v>
      </c>
      <c r="X4">
        <v>400</v>
      </c>
    </row>
    <row r="5" spans="1:24" x14ac:dyDescent="0.15">
      <c r="A5">
        <v>200</v>
      </c>
      <c r="B5">
        <v>13000</v>
      </c>
      <c r="C5">
        <v>1.4999999999999999E-2</v>
      </c>
      <c r="D5">
        <v>-185</v>
      </c>
      <c r="E5">
        <v>-205</v>
      </c>
      <c r="F5">
        <v>-260</v>
      </c>
      <c r="G5">
        <v>-310</v>
      </c>
      <c r="H5">
        <v>-340</v>
      </c>
      <c r="I5">
        <v>-340</v>
      </c>
      <c r="J5">
        <v>-340</v>
      </c>
      <c r="K5">
        <v>-340</v>
      </c>
      <c r="L5">
        <v>-340</v>
      </c>
      <c r="M5">
        <v>-340</v>
      </c>
      <c r="N5">
        <v>-340</v>
      </c>
      <c r="O5">
        <v>-340</v>
      </c>
      <c r="P5">
        <v>-340</v>
      </c>
      <c r="Q5">
        <v>-340</v>
      </c>
      <c r="R5">
        <v>-340</v>
      </c>
      <c r="S5">
        <v>-340</v>
      </c>
      <c r="T5">
        <v>-340</v>
      </c>
      <c r="U5">
        <v>-340</v>
      </c>
      <c r="V5">
        <v>-340</v>
      </c>
      <c r="W5">
        <v>-340</v>
      </c>
      <c r="X5">
        <v>-340</v>
      </c>
    </row>
    <row r="6" spans="1:24" x14ac:dyDescent="0.15">
      <c r="A6">
        <v>200</v>
      </c>
      <c r="B6">
        <v>9700</v>
      </c>
      <c r="C6">
        <v>0.02</v>
      </c>
      <c r="D6">
        <v>-140</v>
      </c>
      <c r="E6">
        <v>-160</v>
      </c>
      <c r="F6">
        <v>-200</v>
      </c>
      <c r="G6">
        <v>-265</v>
      </c>
      <c r="H6">
        <v>-315</v>
      </c>
      <c r="I6">
        <v>-340</v>
      </c>
      <c r="J6">
        <v>-340</v>
      </c>
      <c r="K6">
        <v>-340</v>
      </c>
      <c r="L6">
        <v>-340</v>
      </c>
      <c r="M6">
        <v>-340</v>
      </c>
      <c r="N6">
        <v>-340</v>
      </c>
      <c r="O6">
        <v>-340</v>
      </c>
      <c r="P6">
        <v>-340</v>
      </c>
      <c r="Q6">
        <v>-340</v>
      </c>
      <c r="R6">
        <v>-340</v>
      </c>
      <c r="S6">
        <v>-340</v>
      </c>
      <c r="T6">
        <v>-340</v>
      </c>
      <c r="U6">
        <v>-340</v>
      </c>
      <c r="V6">
        <v>-340</v>
      </c>
      <c r="W6">
        <v>-340</v>
      </c>
      <c r="X6">
        <v>-340</v>
      </c>
    </row>
    <row r="7" spans="1:24" x14ac:dyDescent="0.15">
      <c r="A7">
        <v>200</v>
      </c>
      <c r="B7">
        <v>7800</v>
      </c>
      <c r="C7">
        <v>2.5000000000000001E-2</v>
      </c>
      <c r="D7">
        <v>-100</v>
      </c>
      <c r="E7">
        <v>-120</v>
      </c>
      <c r="F7">
        <v>-160</v>
      </c>
      <c r="G7">
        <v>-205</v>
      </c>
      <c r="H7">
        <v>-275</v>
      </c>
      <c r="I7">
        <v>-325</v>
      </c>
      <c r="J7">
        <v>-340</v>
      </c>
      <c r="K7">
        <v>-340</v>
      </c>
      <c r="L7">
        <v>-340</v>
      </c>
      <c r="M7">
        <v>-340</v>
      </c>
      <c r="N7">
        <v>-340</v>
      </c>
      <c r="O7">
        <v>-340</v>
      </c>
      <c r="P7">
        <v>-340</v>
      </c>
      <c r="Q7">
        <v>-340</v>
      </c>
      <c r="R7">
        <v>-340</v>
      </c>
      <c r="S7">
        <v>-340</v>
      </c>
      <c r="T7">
        <v>-340</v>
      </c>
      <c r="U7">
        <v>-340</v>
      </c>
      <c r="V7">
        <v>-340</v>
      </c>
      <c r="W7">
        <v>-340</v>
      </c>
      <c r="X7">
        <v>-340</v>
      </c>
    </row>
    <row r="8" spans="1:24" x14ac:dyDescent="0.15">
      <c r="A8">
        <v>200</v>
      </c>
      <c r="B8">
        <v>6500</v>
      </c>
      <c r="C8">
        <v>0.03</v>
      </c>
      <c r="D8">
        <v>-55</v>
      </c>
      <c r="E8">
        <v>-80</v>
      </c>
      <c r="F8">
        <v>-125</v>
      </c>
      <c r="G8">
        <v>-170</v>
      </c>
      <c r="H8">
        <v>-215</v>
      </c>
      <c r="I8">
        <v>-280</v>
      </c>
      <c r="J8">
        <v>-325</v>
      </c>
      <c r="K8">
        <v>-340</v>
      </c>
      <c r="L8">
        <v>-340</v>
      </c>
      <c r="M8">
        <v>-340</v>
      </c>
      <c r="N8">
        <v>-340</v>
      </c>
      <c r="O8">
        <v>-340</v>
      </c>
      <c r="P8">
        <v>-340</v>
      </c>
      <c r="Q8">
        <v>-340</v>
      </c>
      <c r="R8">
        <v>-340</v>
      </c>
      <c r="S8">
        <v>-340</v>
      </c>
      <c r="T8">
        <v>-340</v>
      </c>
      <c r="U8">
        <v>-340</v>
      </c>
      <c r="V8">
        <v>-340</v>
      </c>
      <c r="W8">
        <v>-340</v>
      </c>
      <c r="X8">
        <v>-340</v>
      </c>
    </row>
    <row r="9" spans="1:24" x14ac:dyDescent="0.15">
      <c r="A9">
        <v>200</v>
      </c>
      <c r="B9">
        <v>5570</v>
      </c>
      <c r="C9">
        <v>3.5000000000000003E-2</v>
      </c>
      <c r="D9">
        <v>-20</v>
      </c>
      <c r="E9">
        <v>-50</v>
      </c>
      <c r="F9">
        <v>-90</v>
      </c>
      <c r="G9">
        <v>-135</v>
      </c>
      <c r="H9">
        <v>-180</v>
      </c>
      <c r="I9">
        <v>-230</v>
      </c>
      <c r="J9">
        <v>-295</v>
      </c>
      <c r="K9">
        <v>-340</v>
      </c>
      <c r="L9">
        <v>-340</v>
      </c>
      <c r="M9">
        <v>-340</v>
      </c>
      <c r="N9">
        <v>-340</v>
      </c>
      <c r="O9">
        <v>-340</v>
      </c>
      <c r="P9">
        <v>-340</v>
      </c>
      <c r="Q9">
        <v>-340</v>
      </c>
      <c r="R9">
        <v>-340</v>
      </c>
      <c r="S9">
        <v>-340</v>
      </c>
      <c r="T9">
        <v>-340</v>
      </c>
      <c r="U9">
        <v>-340</v>
      </c>
      <c r="V9">
        <v>-340</v>
      </c>
      <c r="W9">
        <v>-340</v>
      </c>
      <c r="X9">
        <v>-340</v>
      </c>
    </row>
    <row r="10" spans="1:24" x14ac:dyDescent="0.15">
      <c r="A10">
        <v>400</v>
      </c>
      <c r="B10">
        <v>9750</v>
      </c>
      <c r="C10">
        <v>0.04</v>
      </c>
      <c r="D10">
        <v>-10</v>
      </c>
      <c r="E10">
        <v>-20</v>
      </c>
      <c r="F10">
        <v>-65</v>
      </c>
      <c r="G10">
        <v>-105</v>
      </c>
      <c r="H10">
        <v>-150</v>
      </c>
      <c r="I10">
        <v>-190</v>
      </c>
      <c r="J10">
        <v>-230</v>
      </c>
      <c r="K10">
        <v>-280</v>
      </c>
      <c r="L10">
        <v>-325</v>
      </c>
      <c r="M10">
        <v>-340</v>
      </c>
      <c r="N10">
        <v>-340</v>
      </c>
      <c r="O10">
        <v>-340</v>
      </c>
      <c r="P10">
        <v>-340</v>
      </c>
      <c r="Q10">
        <v>-340</v>
      </c>
      <c r="R10">
        <v>-340</v>
      </c>
      <c r="S10">
        <v>-340</v>
      </c>
      <c r="T10">
        <v>-340</v>
      </c>
      <c r="U10">
        <v>-340</v>
      </c>
      <c r="V10">
        <v>-340</v>
      </c>
      <c r="W10">
        <v>-340</v>
      </c>
      <c r="X10">
        <v>-340</v>
      </c>
    </row>
    <row r="11" spans="1:24" x14ac:dyDescent="0.15">
      <c r="A11">
        <v>400</v>
      </c>
      <c r="B11">
        <v>6500</v>
      </c>
      <c r="C11">
        <v>0.06</v>
      </c>
      <c r="D11">
        <v>0</v>
      </c>
      <c r="E11" s="7">
        <v>-10</v>
      </c>
      <c r="F11" s="7">
        <v>-30</v>
      </c>
      <c r="G11" s="7">
        <v>-47</v>
      </c>
      <c r="H11" s="7">
        <v>-60</v>
      </c>
      <c r="I11" s="7">
        <v>-80</v>
      </c>
      <c r="J11" s="7">
        <v>-115</v>
      </c>
      <c r="K11" s="7">
        <v>-150</v>
      </c>
      <c r="L11" s="7">
        <v>-180</v>
      </c>
      <c r="M11" s="7">
        <v>-215</v>
      </c>
      <c r="N11" s="7">
        <v>-245</v>
      </c>
      <c r="O11" s="7">
        <v>-290</v>
      </c>
      <c r="P11" s="7">
        <v>-325</v>
      </c>
      <c r="Q11">
        <v>-340</v>
      </c>
      <c r="R11">
        <v>-340</v>
      </c>
      <c r="S11">
        <v>-340</v>
      </c>
      <c r="T11">
        <v>-340</v>
      </c>
      <c r="U11">
        <v>-340</v>
      </c>
      <c r="V11">
        <v>-340</v>
      </c>
      <c r="W11">
        <v>-340</v>
      </c>
      <c r="X11">
        <v>-340</v>
      </c>
    </row>
    <row r="12" spans="1:24" x14ac:dyDescent="0.15">
      <c r="A12">
        <v>400</v>
      </c>
      <c r="B12">
        <v>4320</v>
      </c>
      <c r="C12">
        <v>0.09</v>
      </c>
      <c r="D12" s="7">
        <v>0</v>
      </c>
      <c r="E12" s="7">
        <v>-10</v>
      </c>
      <c r="F12" s="7">
        <v>-30</v>
      </c>
      <c r="G12" s="7">
        <v>-47</v>
      </c>
      <c r="H12" s="7">
        <v>-60</v>
      </c>
      <c r="I12" s="7">
        <v>-78</v>
      </c>
      <c r="J12" s="7">
        <v>-98</v>
      </c>
      <c r="K12" s="7">
        <v>-113</v>
      </c>
      <c r="L12" s="7">
        <v>-132</v>
      </c>
      <c r="M12" s="7">
        <v>-152</v>
      </c>
      <c r="N12" s="7">
        <v>-172</v>
      </c>
      <c r="O12" s="7">
        <v>-194</v>
      </c>
      <c r="P12" s="7">
        <v>-214</v>
      </c>
      <c r="Q12" s="7">
        <v>-228</v>
      </c>
      <c r="R12" s="7">
        <v>-247</v>
      </c>
      <c r="S12" s="7">
        <v>-271</v>
      </c>
      <c r="T12" s="7">
        <v>-291</v>
      </c>
      <c r="U12" s="7">
        <v>-315</v>
      </c>
      <c r="V12" s="7">
        <v>-340</v>
      </c>
      <c r="W12" s="7">
        <v>-340</v>
      </c>
      <c r="X12" s="7">
        <v>-340</v>
      </c>
    </row>
    <row r="19" spans="4:27" x14ac:dyDescent="0.15">
      <c r="E19">
        <v>1.4999999999999999E-2</v>
      </c>
      <c r="F19">
        <v>0.02</v>
      </c>
      <c r="G19">
        <v>2.5000000000000001E-2</v>
      </c>
      <c r="H19">
        <v>0.03</v>
      </c>
      <c r="I19">
        <v>3.5000000000000003E-2</v>
      </c>
      <c r="J19">
        <v>0.04</v>
      </c>
      <c r="K19">
        <v>0.06</v>
      </c>
      <c r="L19">
        <v>0.09</v>
      </c>
    </row>
    <row r="24" spans="4:27" x14ac:dyDescent="0.15">
      <c r="D24" s="6"/>
    </row>
    <row r="25" spans="4:27" x14ac:dyDescent="0.15">
      <c r="D25" s="6"/>
    </row>
    <row r="26" spans="4:27" x14ac:dyDescent="0.15">
      <c r="D26" s="6"/>
    </row>
    <row r="27" spans="4:27" x14ac:dyDescent="0.15">
      <c r="D27" s="6"/>
    </row>
    <row r="28" spans="4:27" x14ac:dyDescent="0.15">
      <c r="D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4:27" x14ac:dyDescent="0.15">
      <c r="D29" s="6"/>
    </row>
    <row r="30" spans="4:27" x14ac:dyDescent="0.15">
      <c r="D30" s="6"/>
    </row>
    <row r="31" spans="4:27" x14ac:dyDescent="0.15">
      <c r="D31" s="6"/>
    </row>
    <row r="32" spans="4:27" x14ac:dyDescent="0.15">
      <c r="D32" s="6"/>
    </row>
    <row r="33" spans="4:4" x14ac:dyDescent="0.15">
      <c r="D33" s="6"/>
    </row>
    <row r="34" spans="4:4" x14ac:dyDescent="0.15">
      <c r="D34" s="6">
        <v>-172</v>
      </c>
    </row>
    <row r="35" spans="4:4" x14ac:dyDescent="0.15">
      <c r="D35" s="6">
        <v>-194</v>
      </c>
    </row>
    <row r="36" spans="4:4" x14ac:dyDescent="0.15">
      <c r="D36" s="6">
        <v>-214</v>
      </c>
    </row>
    <row r="37" spans="4:4" x14ac:dyDescent="0.15">
      <c r="D37" s="6">
        <v>-228</v>
      </c>
    </row>
    <row r="38" spans="4:4" x14ac:dyDescent="0.15">
      <c r="D38" s="6">
        <v>-247</v>
      </c>
    </row>
    <row r="39" spans="4:4" x14ac:dyDescent="0.15">
      <c r="D39" s="6">
        <v>-271</v>
      </c>
    </row>
    <row r="40" spans="4:4" x14ac:dyDescent="0.15">
      <c r="D40" s="6">
        <v>-291</v>
      </c>
    </row>
    <row r="41" spans="4:4" x14ac:dyDescent="0.15">
      <c r="D41" s="6">
        <v>-315</v>
      </c>
    </row>
    <row r="42" spans="4:4" x14ac:dyDescent="0.15">
      <c r="D42" s="6">
        <v>-340</v>
      </c>
    </row>
    <row r="43" spans="4:4" x14ac:dyDescent="0.15">
      <c r="D43" s="6">
        <v>-360</v>
      </c>
    </row>
    <row r="44" spans="4:4" x14ac:dyDescent="0.15">
      <c r="D44" s="6">
        <v>-385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3"/>
  <sheetViews>
    <sheetView zoomScale="70" zoomScaleNormal="70" workbookViewId="0">
      <selection activeCell="P26" sqref="P26"/>
    </sheetView>
  </sheetViews>
  <sheetFormatPr defaultRowHeight="14.25" x14ac:dyDescent="0.15"/>
  <sheetData>
    <row r="2" spans="2:3" x14ac:dyDescent="0.15">
      <c r="B2">
        <v>0</v>
      </c>
    </row>
    <row r="3" spans="2:3" x14ac:dyDescent="0.15">
      <c r="B3">
        <v>500</v>
      </c>
      <c r="C3">
        <v>0.33400000000000002</v>
      </c>
    </row>
    <row r="4" spans="2:3" x14ac:dyDescent="0.15">
      <c r="B4">
        <v>1000</v>
      </c>
      <c r="C4">
        <v>0.46300000000000002</v>
      </c>
    </row>
    <row r="5" spans="2:3" x14ac:dyDescent="0.15">
      <c r="B5">
        <v>1500</v>
      </c>
      <c r="C5">
        <v>0.51100000000000001</v>
      </c>
    </row>
    <row r="6" spans="2:3" x14ac:dyDescent="0.15">
      <c r="B6">
        <v>2000</v>
      </c>
      <c r="C6">
        <v>0.55400000000000005</v>
      </c>
    </row>
    <row r="7" spans="2:3" x14ac:dyDescent="0.15">
      <c r="B7">
        <v>2500</v>
      </c>
      <c r="C7">
        <v>0.56699999999999995</v>
      </c>
    </row>
    <row r="8" spans="2:3" x14ac:dyDescent="0.15">
      <c r="B8">
        <v>3000</v>
      </c>
      <c r="C8">
        <v>0.58699999999999997</v>
      </c>
    </row>
    <row r="9" spans="2:3" x14ac:dyDescent="0.15">
      <c r="B9">
        <v>3500</v>
      </c>
      <c r="C9">
        <v>0.60199999999999998</v>
      </c>
    </row>
    <row r="10" spans="2:3" x14ac:dyDescent="0.15">
      <c r="B10">
        <v>4000</v>
      </c>
      <c r="C10">
        <v>0.61699999999999999</v>
      </c>
    </row>
    <row r="11" spans="2:3" x14ac:dyDescent="0.15">
      <c r="B11">
        <v>4500</v>
      </c>
      <c r="C11">
        <v>0.66</v>
      </c>
    </row>
    <row r="12" spans="2:3" x14ac:dyDescent="0.15">
      <c r="B12">
        <v>5000</v>
      </c>
      <c r="C12">
        <v>0.7</v>
      </c>
    </row>
    <row r="13" spans="2:3" x14ac:dyDescent="0.15">
      <c r="B13">
        <v>5500</v>
      </c>
      <c r="C13">
        <v>0.73399999999999999</v>
      </c>
    </row>
    <row r="14" spans="2:3" x14ac:dyDescent="0.15">
      <c r="B14">
        <v>6000</v>
      </c>
      <c r="C14">
        <v>0.76400000000000001</v>
      </c>
    </row>
    <row r="15" spans="2:3" x14ac:dyDescent="0.15">
      <c r="B15">
        <v>6500</v>
      </c>
      <c r="C15">
        <v>0.79</v>
      </c>
    </row>
    <row r="16" spans="2:3" x14ac:dyDescent="0.15">
      <c r="B16">
        <v>7000</v>
      </c>
      <c r="C16">
        <v>0.81499999999999995</v>
      </c>
    </row>
    <row r="17" spans="2:3" x14ac:dyDescent="0.15">
      <c r="B17">
        <v>7500</v>
      </c>
      <c r="C17">
        <v>0.83699999999999997</v>
      </c>
    </row>
    <row r="18" spans="2:3" x14ac:dyDescent="0.15">
      <c r="B18">
        <v>8000</v>
      </c>
      <c r="C18">
        <v>0.873</v>
      </c>
    </row>
    <row r="19" spans="2:3" x14ac:dyDescent="0.15">
      <c r="B19">
        <v>8500</v>
      </c>
      <c r="C19">
        <v>0.91200000000000003</v>
      </c>
    </row>
    <row r="20" spans="2:3" x14ac:dyDescent="0.15">
      <c r="B20">
        <v>9000</v>
      </c>
      <c r="C20">
        <v>0.93400000000000005</v>
      </c>
    </row>
    <row r="21" spans="2:3" x14ac:dyDescent="0.15">
      <c r="B21">
        <v>9500</v>
      </c>
      <c r="C21">
        <v>0.91300000000000003</v>
      </c>
    </row>
    <row r="22" spans="2:3" x14ac:dyDescent="0.15">
      <c r="B22">
        <v>10000</v>
      </c>
      <c r="C22">
        <v>0.9</v>
      </c>
    </row>
    <row r="23" spans="2:3" x14ac:dyDescent="0.15">
      <c r="B23">
        <v>10500</v>
      </c>
      <c r="C23">
        <v>0.879</v>
      </c>
    </row>
    <row r="24" spans="2:3" x14ac:dyDescent="0.15">
      <c r="B24">
        <v>11000</v>
      </c>
      <c r="C24">
        <v>0.84699999999999998</v>
      </c>
    </row>
    <row r="25" spans="2:3" x14ac:dyDescent="0.15">
      <c r="B25">
        <v>11500</v>
      </c>
      <c r="C25">
        <v>0.86299999999999999</v>
      </c>
    </row>
    <row r="26" spans="2:3" x14ac:dyDescent="0.15">
      <c r="B26">
        <v>12000</v>
      </c>
    </row>
    <row r="27" spans="2:3" x14ac:dyDescent="0.15">
      <c r="B27">
        <v>12500</v>
      </c>
    </row>
    <row r="28" spans="2:3" x14ac:dyDescent="0.15">
      <c r="B28">
        <v>13000</v>
      </c>
    </row>
    <row r="29" spans="2:3" x14ac:dyDescent="0.15">
      <c r="B29">
        <v>13500</v>
      </c>
    </row>
    <row r="30" spans="2:3" x14ac:dyDescent="0.15">
      <c r="B30">
        <v>14000</v>
      </c>
    </row>
    <row r="31" spans="2:3" x14ac:dyDescent="0.15">
      <c r="B31">
        <v>14500</v>
      </c>
    </row>
    <row r="32" spans="2:3" x14ac:dyDescent="0.15">
      <c r="B32">
        <v>15000</v>
      </c>
    </row>
    <row r="33" spans="2:2" x14ac:dyDescent="0.15">
      <c r="B33">
        <v>15500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Input</vt:lpstr>
      <vt:lpstr>flux</vt:lpstr>
      <vt:lpstr>Ld</vt:lpstr>
      <vt:lpstr>Lq</vt:lpstr>
      <vt:lpstr>MTPA</vt:lpstr>
      <vt:lpstr>FW前馈</vt:lpstr>
      <vt:lpstr>摩擦扭矩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xingchun.zhang</cp:lastModifiedBy>
  <dcterms:created xsi:type="dcterms:W3CDTF">2018-01-26T00:29:38Z</dcterms:created>
  <dcterms:modified xsi:type="dcterms:W3CDTF">2018-02-13T04:39:29Z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